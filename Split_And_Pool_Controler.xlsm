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nascriptco.sharepoint.com/sites/system_integration/Bibliothque/SI.6 - SPLITANDPOOL/Programme Python/SplitAndPool_v1/"/>
    </mc:Choice>
  </mc:AlternateContent>
  <xr:revisionPtr revIDLastSave="1205" documentId="8_{9AB6C8C4-214E-48D7-A7E8-9AD39C417E6D}" xr6:coauthVersionLast="47" xr6:coauthVersionMax="47" xr10:uidLastSave="{8D31461A-3CE1-4DAB-8ECA-3B2396429506}"/>
  <bookViews>
    <workbookView xWindow="-110" yWindow="-110" windowWidth="19420" windowHeight="10420" xr2:uid="{06C0942E-0F6C-4F79-B67B-9313CB0BA46B}"/>
  </bookViews>
  <sheets>
    <sheet name="Controler" sheetId="1" r:id="rId1"/>
    <sheet name="OT2 Deck" sheetId="5" r:id="rId2"/>
    <sheet name="PSP" sheetId="4" r:id="rId3"/>
    <sheet name="References" sheetId="2" r:id="rId4"/>
  </sheets>
  <externalReferences>
    <externalReference r:id="rId5"/>
  </externalReferences>
  <definedNames>
    <definedName name="_xlnm.Print_Area" localSheetId="0">Controler!#REF!</definedName>
    <definedName name="Zone_d_impression_1">#REF!</definedName>
    <definedName name="Zone_d_impression_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50" i="4" l="1"/>
  <c r="J51" i="4"/>
  <c r="Z41" i="4"/>
  <c r="Z39" i="4"/>
  <c r="J39" i="4" a="1"/>
  <c r="J39" i="4" s="1"/>
  <c r="I39" i="4" a="1"/>
  <c r="I39" i="4" s="1"/>
  <c r="Z37" i="4"/>
  <c r="X37" i="4"/>
  <c r="V37" i="4"/>
  <c r="T37" i="4"/>
  <c r="R37" i="4"/>
  <c r="Z35" i="4"/>
  <c r="X35" i="4"/>
  <c r="V35" i="4"/>
  <c r="T35" i="4"/>
  <c r="R35" i="4"/>
  <c r="Z33" i="4"/>
  <c r="X33" i="4"/>
  <c r="V33" i="4"/>
  <c r="T33" i="4"/>
  <c r="R33" i="4"/>
  <c r="Z31" i="4"/>
  <c r="X31" i="4"/>
  <c r="V31" i="4"/>
  <c r="T31" i="4"/>
  <c r="R31" i="4"/>
  <c r="J8" i="1" a="1"/>
  <c r="J8" i="1" s="1"/>
  <c r="AZ24" i="4" s="1"/>
  <c r="R19" i="5"/>
  <c r="R17" i="5"/>
  <c r="R15" i="5"/>
  <c r="R13" i="5"/>
  <c r="C36" i="2"/>
  <c r="C35" i="2"/>
  <c r="C34" i="2"/>
  <c r="C33" i="2"/>
  <c r="J9" i="1" l="1"/>
  <c r="AF10" i="4"/>
  <c r="C35" i="4"/>
  <c r="C31" i="4"/>
  <c r="G35" i="4"/>
  <c r="I37" i="4"/>
  <c r="AL10" i="4"/>
  <c r="AJ14" i="4"/>
  <c r="E31" i="4"/>
  <c r="U31" i="4"/>
  <c r="G33" i="4"/>
  <c r="W35" i="4"/>
  <c r="K37" i="4"/>
  <c r="AF12" i="4"/>
  <c r="G31" i="4"/>
  <c r="I33" i="4"/>
  <c r="W33" i="4"/>
  <c r="K35" i="4"/>
  <c r="Q37" i="4"/>
  <c r="Y37" i="4" a="1"/>
  <c r="Y37" i="4" s="1"/>
  <c r="AP10" i="4"/>
  <c r="AH12" i="4"/>
  <c r="AV12" i="4"/>
  <c r="AN14" i="4" a="1"/>
  <c r="AN14" i="4" s="1"/>
  <c r="AD16" i="4" a="1"/>
  <c r="AD16" i="4" s="1"/>
  <c r="AR16" i="4"/>
  <c r="AJ18" i="4" a="1"/>
  <c r="AJ18" i="4" s="1"/>
  <c r="AD20" i="4"/>
  <c r="AV20" i="4"/>
  <c r="AN22" i="4"/>
  <c r="AH24" i="4"/>
  <c r="I31" i="4"/>
  <c r="W31" i="4"/>
  <c r="K33" i="4"/>
  <c r="Q35" i="4"/>
  <c r="Y35" i="4" a="1"/>
  <c r="Y35" i="4" s="1"/>
  <c r="AR10" i="4"/>
  <c r="AJ12" i="4"/>
  <c r="AX12" i="4" a="1"/>
  <c r="AX12" i="4" s="1"/>
  <c r="AP14" i="4"/>
  <c r="AT16" i="4"/>
  <c r="AL18" i="4"/>
  <c r="AF20" i="4"/>
  <c r="AX20" i="4"/>
  <c r="AR22" i="4"/>
  <c r="AJ24" i="4" a="1"/>
  <c r="AJ24" i="4" s="1"/>
  <c r="Q31" i="4"/>
  <c r="K31" i="4"/>
  <c r="Q33" i="4"/>
  <c r="Y33" i="4" a="1"/>
  <c r="Y33" i="4" s="1"/>
  <c r="S37" i="4"/>
  <c r="AD10" i="4"/>
  <c r="AT10" i="4"/>
  <c r="AL12" i="4"/>
  <c r="AZ12" i="4"/>
  <c r="AR14" i="4"/>
  <c r="AF16" i="4"/>
  <c r="AV16" i="4"/>
  <c r="AN18" i="4"/>
  <c r="AH20" i="4"/>
  <c r="AZ20" i="4"/>
  <c r="AT22" i="4" a="1"/>
  <c r="AT22" i="4" s="1"/>
  <c r="AL24" i="4"/>
  <c r="Y31" i="4" a="1"/>
  <c r="Y31" i="4" s="1"/>
  <c r="AV10" i="4"/>
  <c r="AD14" i="4" a="1"/>
  <c r="AD14" i="4" s="1"/>
  <c r="AT14" i="4"/>
  <c r="AH16" i="4"/>
  <c r="AX16" i="4" a="1"/>
  <c r="AX16" i="4" s="1"/>
  <c r="AR18" i="4"/>
  <c r="AJ20" i="4" a="1"/>
  <c r="AJ20" i="4" s="1"/>
  <c r="AD22" i="4"/>
  <c r="AV22" i="4"/>
  <c r="AN24" i="4"/>
  <c r="C37" i="4"/>
  <c r="E37" i="4"/>
  <c r="U37" i="4"/>
  <c r="Y39" i="4" a="1"/>
  <c r="Y39" i="4" s="1"/>
  <c r="AH10" i="4"/>
  <c r="AX10" i="4" a="1"/>
  <c r="AX10" i="4" s="1"/>
  <c r="AF14" i="4"/>
  <c r="AV14" i="4"/>
  <c r="AJ16" i="4"/>
  <c r="AZ16" i="4"/>
  <c r="AT18" i="4" a="1"/>
  <c r="AT18" i="4" s="1"/>
  <c r="AL20" i="4"/>
  <c r="AF22" i="4"/>
  <c r="AX22" i="4"/>
  <c r="AR24" i="4"/>
  <c r="S31" i="4"/>
  <c r="C33" i="4"/>
  <c r="E35" i="4"/>
  <c r="U35" i="4"/>
  <c r="G37" i="4"/>
  <c r="AJ10" i="4"/>
  <c r="AZ10" i="4"/>
  <c r="AP12" i="4"/>
  <c r="AH14" i="4"/>
  <c r="AX14" i="4" a="1"/>
  <c r="AX14" i="4" s="1"/>
  <c r="AL16" i="4"/>
  <c r="AD18" i="4"/>
  <c r="AV18" i="4"/>
  <c r="AN20" i="4"/>
  <c r="AH22" i="4"/>
  <c r="AZ22" i="4"/>
  <c r="AT24" i="4" a="1"/>
  <c r="AT24" i="4" s="1"/>
  <c r="S35" i="4"/>
  <c r="S33" i="4"/>
  <c r="E33" i="4"/>
  <c r="Y41" i="4" a="1"/>
  <c r="Y41" i="4" s="1"/>
  <c r="AD12" i="4" a="1"/>
  <c r="AD12" i="4" s="1"/>
  <c r="AR12" i="4"/>
  <c r="AN16" i="4" a="1"/>
  <c r="AN16" i="4" s="1"/>
  <c r="AF18" i="4"/>
  <c r="AX18" i="4"/>
  <c r="AR20" i="4"/>
  <c r="AJ22" i="4" a="1"/>
  <c r="AJ22" i="4" s="1"/>
  <c r="AD24" i="4"/>
  <c r="AV24" i="4"/>
  <c r="AN12" i="4" a="1"/>
  <c r="AN12" i="4" s="1"/>
  <c r="U33" i="4"/>
  <c r="W37" i="4"/>
  <c r="I35" i="4"/>
  <c r="AN10" i="4" a="1"/>
  <c r="AN10" i="4" s="1"/>
  <c r="AT12" i="4"/>
  <c r="AL14" i="4"/>
  <c r="AZ14" i="4"/>
  <c r="AP16" i="4"/>
  <c r="AH18" i="4"/>
  <c r="AZ18" i="4"/>
  <c r="AT20" i="4" a="1"/>
  <c r="AT20" i="4" s="1"/>
  <c r="AL22" i="4"/>
  <c r="AF24" i="4"/>
  <c r="AX24" i="4"/>
  <c r="C37" i="2"/>
  <c r="D9" i="1"/>
  <c r="G11" i="1" s="1"/>
  <c r="D30" i="1" a="1"/>
  <c r="D30" i="1" s="1"/>
  <c r="D29" i="1" a="1"/>
  <c r="D29" i="1" s="1"/>
  <c r="P47" i="5"/>
  <c r="P45" i="5"/>
  <c r="P43" i="5"/>
  <c r="P41" i="5"/>
  <c r="AR24" i="5" a="1"/>
  <c r="AR24" i="5" s="1"/>
  <c r="AM24" i="5" a="1"/>
  <c r="AM24" i="5" s="1"/>
  <c r="AH24" i="5" a="1"/>
  <c r="AH24" i="5" s="1"/>
  <c r="Z23" i="5"/>
  <c r="Z21" i="5"/>
  <c r="AR20" i="5" a="1"/>
  <c r="AR20" i="5" s="1"/>
  <c r="AM20" i="5" a="1"/>
  <c r="AM20" i="5" s="1"/>
  <c r="AH20" i="5" a="1"/>
  <c r="AH20" i="5" s="1"/>
  <c r="Z19" i="5"/>
  <c r="X19" i="5"/>
  <c r="V19" i="5"/>
  <c r="T19" i="5"/>
  <c r="Z17" i="5"/>
  <c r="X17" i="5"/>
  <c r="V17" i="5"/>
  <c r="T17" i="5"/>
  <c r="AR16" i="5" a="1"/>
  <c r="AR16" i="5" s="1"/>
  <c r="AM16" i="5" a="1"/>
  <c r="AM16" i="5" s="1"/>
  <c r="AH16" i="5" a="1"/>
  <c r="AH16" i="5" s="1"/>
  <c r="Z15" i="5"/>
  <c r="X15" i="5"/>
  <c r="V15" i="5"/>
  <c r="T15" i="5"/>
  <c r="Z13" i="5"/>
  <c r="X13" i="5"/>
  <c r="V13" i="5"/>
  <c r="T13" i="5"/>
  <c r="AM12" i="5" a="1"/>
  <c r="AM12" i="5" s="1"/>
  <c r="AH12" i="5" a="1"/>
  <c r="AH12" i="5" s="1"/>
  <c r="G51" i="4"/>
  <c r="D50" i="4"/>
  <c r="D51" i="4" s="1"/>
  <c r="D25" i="1" a="1"/>
  <c r="D25" i="1" s="1"/>
  <c r="D26" i="1" a="1"/>
  <c r="D26" i="1" s="1"/>
  <c r="D24" i="1" a="1"/>
  <c r="D24" i="1" s="1"/>
  <c r="U5" i="5" l="1"/>
  <c r="AV5" i="5"/>
  <c r="J21" i="5" a="1"/>
  <c r="J21" i="5" s="1"/>
  <c r="I21" i="5" a="1"/>
  <c r="I21" i="5" s="1"/>
  <c r="H5" i="5"/>
  <c r="AI5" i="5"/>
  <c r="E9" i="1"/>
  <c r="J7" i="1"/>
  <c r="AU43" i="5" l="1" a="1"/>
  <c r="AU43" i="5" s="1"/>
  <c r="AK45" i="5" a="1"/>
  <c r="AK45" i="5" s="1"/>
  <c r="AU41" i="5" a="1"/>
  <c r="AU41" i="5" s="1"/>
  <c r="AK47" i="5" a="1"/>
  <c r="AK47" i="5" s="1"/>
  <c r="AK43" i="5" a="1"/>
  <c r="AK43" i="5" s="1"/>
  <c r="AU47" i="5" a="1"/>
  <c r="AU47" i="5" s="1"/>
  <c r="AK41" i="5" a="1"/>
  <c r="AK41" i="5" s="1"/>
  <c r="AY39" i="5" a="1"/>
  <c r="AY39" i="5" s="1"/>
  <c r="AU45" i="5" a="1"/>
  <c r="AU45" i="5" s="1"/>
  <c r="AY35" i="5" a="1"/>
  <c r="AY35" i="5" s="1"/>
  <c r="AO39" i="5" a="1"/>
  <c r="AO39" i="5" s="1"/>
  <c r="AY33" i="5" a="1"/>
  <c r="AY33" i="5" s="1"/>
  <c r="AY37" i="5" a="1"/>
  <c r="AY37" i="5" s="1"/>
  <c r="AO37" i="5" a="1"/>
  <c r="AO37" i="5" s="1"/>
  <c r="AO33" i="5" a="1"/>
  <c r="AO33" i="5" s="1"/>
  <c r="AO35" i="5" a="1"/>
  <c r="AO35" i="5" s="1"/>
  <c r="AE39" i="5" a="1"/>
  <c r="AE39" i="5" s="1"/>
  <c r="AE41" i="5"/>
  <c r="AE37" i="5" a="1"/>
  <c r="AE37" i="5" s="1"/>
  <c r="AE43" i="5"/>
  <c r="AE45" i="5"/>
  <c r="AE47" i="5"/>
  <c r="AE35" i="5" a="1"/>
  <c r="AE35" i="5" s="1"/>
  <c r="G13" i="5"/>
  <c r="K13" i="5"/>
  <c r="Q19" i="5"/>
  <c r="Q17" i="5"/>
  <c r="Q15" i="5"/>
  <c r="B7" i="5"/>
  <c r="Q13" i="5"/>
  <c r="G19" i="5"/>
  <c r="G15" i="5"/>
  <c r="E15" i="5"/>
  <c r="E19" i="5"/>
  <c r="G17" i="5"/>
  <c r="E17" i="5"/>
  <c r="C19" i="5"/>
  <c r="AC7" i="5"/>
  <c r="E13" i="5"/>
  <c r="C13" i="5"/>
  <c r="C15" i="5"/>
  <c r="C17" i="5"/>
  <c r="BA47" i="5"/>
  <c r="AI47" i="5"/>
  <c r="AW45" i="5"/>
  <c r="AS43" i="5"/>
  <c r="F43" i="5"/>
  <c r="AM41" i="5"/>
  <c r="BA39" i="5"/>
  <c r="AK39" i="5"/>
  <c r="AI37" i="5"/>
  <c r="AW35" i="5"/>
  <c r="AG35" i="5"/>
  <c r="AU33" i="5"/>
  <c r="AE33" i="5"/>
  <c r="W19" i="5"/>
  <c r="Y13" i="5" a="1"/>
  <c r="Y13" i="5" s="1"/>
  <c r="I13" i="5"/>
  <c r="H12" i="4"/>
  <c r="F18" i="4"/>
  <c r="F10" i="4"/>
  <c r="AY47" i="5"/>
  <c r="AG47" i="5"/>
  <c r="AO43" i="5"/>
  <c r="D43" i="5"/>
  <c r="AI39" i="5"/>
  <c r="AW37" i="5"/>
  <c r="AG37" i="5"/>
  <c r="AU35" i="5"/>
  <c r="AS33" i="5"/>
  <c r="H33" i="5"/>
  <c r="Y21" i="5" a="1"/>
  <c r="Y21" i="5" s="1"/>
  <c r="S17" i="5"/>
  <c r="S15" i="5"/>
  <c r="H10" i="4"/>
  <c r="D18" i="4"/>
  <c r="S13" i="5"/>
  <c r="F12" i="4"/>
  <c r="AG45" i="5"/>
  <c r="AK37" i="5"/>
  <c r="Y23" i="5" a="1"/>
  <c r="Y23" i="5" s="1"/>
  <c r="D20" i="4"/>
  <c r="AW47" i="5"/>
  <c r="AS45" i="5"/>
  <c r="F45" i="5"/>
  <c r="AM43" i="5"/>
  <c r="BA41" i="5"/>
  <c r="AI41" i="5"/>
  <c r="AW39" i="5"/>
  <c r="AG39" i="5"/>
  <c r="AU37" i="5"/>
  <c r="AS35" i="5"/>
  <c r="H35" i="5"/>
  <c r="AQ33" i="5"/>
  <c r="F33" i="5"/>
  <c r="U19" i="5"/>
  <c r="K17" i="5"/>
  <c r="K15" i="5"/>
  <c r="W13" i="5"/>
  <c r="F24" i="4"/>
  <c r="F16" i="4"/>
  <c r="AM39" i="5"/>
  <c r="AW33" i="5"/>
  <c r="AO45" i="5"/>
  <c r="D45" i="5"/>
  <c r="AY41" i="5"/>
  <c r="AG41" i="5"/>
  <c r="AU39" i="5"/>
  <c r="AS37" i="5"/>
  <c r="H37" i="5"/>
  <c r="AQ35" i="5"/>
  <c r="F35" i="5"/>
  <c r="Y17" i="5" a="1"/>
  <c r="Y17" i="5" s="1"/>
  <c r="I17" i="5"/>
  <c r="Y15" i="5" a="1"/>
  <c r="Y15" i="5" s="1"/>
  <c r="I15" i="5"/>
  <c r="D24" i="4"/>
  <c r="D16" i="4"/>
  <c r="S19" i="5"/>
  <c r="U13" i="5"/>
  <c r="F22" i="4"/>
  <c r="F14" i="4"/>
  <c r="F20" i="4"/>
  <c r="BA37" i="5"/>
  <c r="AG33" i="5"/>
  <c r="U15" i="5"/>
  <c r="D12" i="4"/>
  <c r="AS47" i="5"/>
  <c r="F47" i="5"/>
  <c r="AM45" i="5"/>
  <c r="BA43" i="5"/>
  <c r="AI43" i="5"/>
  <c r="AW41" i="5"/>
  <c r="AS39" i="5"/>
  <c r="H39" i="5"/>
  <c r="AQ37" i="5"/>
  <c r="F37" i="5"/>
  <c r="D35" i="5"/>
  <c r="AM33" i="5"/>
  <c r="BA45" i="5"/>
  <c r="AI45" i="5"/>
  <c r="AW43" i="5"/>
  <c r="AS41" i="5"/>
  <c r="F41" i="5"/>
  <c r="D39" i="5"/>
  <c r="AM37" i="5"/>
  <c r="BA35" i="5"/>
  <c r="AK35" i="5"/>
  <c r="AI33" i="5"/>
  <c r="Y19" i="5" a="1"/>
  <c r="Y19" i="5" s="1"/>
  <c r="I19" i="5"/>
  <c r="H16" i="4"/>
  <c r="D41" i="5"/>
  <c r="AI35" i="5"/>
  <c r="U17" i="5"/>
  <c r="H14" i="4"/>
  <c r="AO47" i="5"/>
  <c r="D47" i="5"/>
  <c r="AY43" i="5"/>
  <c r="AG43" i="5"/>
  <c r="AQ39" i="5"/>
  <c r="F39" i="5"/>
  <c r="D37" i="5"/>
  <c r="AM35" i="5"/>
  <c r="BA33" i="5"/>
  <c r="AK33" i="5"/>
  <c r="K19" i="5"/>
  <c r="W17" i="5"/>
  <c r="W15" i="5"/>
  <c r="D22" i="4"/>
  <c r="D14" i="4"/>
  <c r="AY45" i="5"/>
  <c r="AO41" i="5"/>
  <c r="AM47" i="5"/>
  <c r="AE19" i="5" l="1"/>
  <c r="AE21" i="5" s="1"/>
  <c r="AE20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<sst xmlns="http://schemas.openxmlformats.org/spreadsheetml/2006/main" count="329" uniqueCount="126">
  <si>
    <t>Split And Pool protocol generator</t>
  </si>
  <si>
    <t>Choose operating parameters</t>
  </si>
  <si>
    <t>Choice of labware and location on deck</t>
  </si>
  <si>
    <t>Tiprack</t>
  </si>
  <si>
    <t>ReagentReservoir</t>
  </si>
  <si>
    <t>FilterPlate</t>
  </si>
  <si>
    <t>Opentrons 96 Tip Rack 300 µL</t>
  </si>
  <si>
    <t>Liste of available labware</t>
  </si>
  <si>
    <t>Name</t>
  </si>
  <si>
    <t>API name</t>
  </si>
  <si>
    <t>opentrons_96_tiprack_300ul</t>
  </si>
  <si>
    <t>Axygen 96 Reservoir 2000 µL</t>
  </si>
  <si>
    <t>axygen_96_reservoir_2000ul</t>
  </si>
  <si>
    <t>NEST 96 Deepwell Plate 2mL</t>
  </si>
  <si>
    <t>nest_96_wellplate_2ml_deep</t>
  </si>
  <si>
    <t>USA Scientific 96 Deep Well Plate 2.4 mL</t>
  </si>
  <si>
    <t>usascientific_96_wellplate_2.4ml_deep</t>
  </si>
  <si>
    <t>Pall 96 Well Plate 350 µL Test</t>
  </si>
  <si>
    <t>pall_96_wellplate_350ul_manifold</t>
  </si>
  <si>
    <t>Pall 96 Well Plate 350 µL on Manifold</t>
  </si>
  <si>
    <t>pall_96_wellplate_350ul_test</t>
  </si>
  <si>
    <t>Greiner 96 Well Plate 350 µL</t>
  </si>
  <si>
    <t>greiner_96_wellplate_350ul</t>
  </si>
  <si>
    <t>corning_96_wellplate_360ul_flat</t>
  </si>
  <si>
    <t>Corning 96 Well Plate 360 µL Flat</t>
  </si>
  <si>
    <t>Labware</t>
  </si>
  <si>
    <t>Location</t>
  </si>
  <si>
    <t>Location on deck</t>
  </si>
  <si>
    <t>Choice of pipets and placement</t>
  </si>
  <si>
    <t>Liste of avaible pipettes</t>
  </si>
  <si>
    <t>P300 Single GEN2</t>
  </si>
  <si>
    <t>P300 Single GEN1</t>
  </si>
  <si>
    <t>P1000 Single GEN2</t>
  </si>
  <si>
    <t>P1000 Single GEN1</t>
  </si>
  <si>
    <t>p300_single_gen2</t>
  </si>
  <si>
    <t>p300_single_gen1</t>
  </si>
  <si>
    <t>p1000_single_gen2</t>
  </si>
  <si>
    <t>p1000_single_gen1</t>
  </si>
  <si>
    <t>P300 Multi GEN2</t>
  </si>
  <si>
    <t>P300 Multi GEN1</t>
  </si>
  <si>
    <t>p300_multi_gen2</t>
  </si>
  <si>
    <t>p300_multi_gen1</t>
  </si>
  <si>
    <t>Multi pipettes</t>
  </si>
  <si>
    <t>Single pipettes</t>
  </si>
  <si>
    <t>Placement</t>
  </si>
  <si>
    <t>Type</t>
  </si>
  <si>
    <t>Concentration of the resin in beads</t>
  </si>
  <si>
    <t>beads/mL</t>
  </si>
  <si>
    <t>Desired number of beads</t>
  </si>
  <si>
    <t>Number of cycles</t>
  </si>
  <si>
    <t>Estimated duration</t>
  </si>
  <si>
    <t>beads</t>
  </si>
  <si>
    <t>mL</t>
  </si>
  <si>
    <t>cycles</t>
  </si>
  <si>
    <t>Single channel pipette</t>
  </si>
  <si>
    <t>Multi channel pipette</t>
  </si>
  <si>
    <t>References</t>
  </si>
  <si>
    <t>Ps</t>
  </si>
  <si>
    <t>A</t>
  </si>
  <si>
    <t>E</t>
  </si>
  <si>
    <t>W1</t>
  </si>
  <si>
    <t>D</t>
  </si>
  <si>
    <t>W2</t>
  </si>
  <si>
    <t>C</t>
  </si>
  <si>
    <t>G</t>
  </si>
  <si>
    <t>T</t>
  </si>
  <si>
    <t>B</t>
  </si>
  <si>
    <t>F</t>
  </si>
  <si>
    <t>H</t>
  </si>
  <si>
    <t>OT2 Deck</t>
  </si>
  <si>
    <t>Right</t>
  </si>
  <si>
    <t>Left</t>
  </si>
  <si>
    <t>Duration of 1 cycle</t>
  </si>
  <si>
    <t>P0</t>
  </si>
  <si>
    <t>DesaltingPlate</t>
  </si>
  <si>
    <t>H2O</t>
  </si>
  <si>
    <t>0.3ml</t>
  </si>
  <si>
    <t>TSTPK</t>
  </si>
  <si>
    <t>TH1X</t>
  </si>
  <si>
    <t>Lb</t>
  </si>
  <si>
    <t>Isop</t>
  </si>
  <si>
    <t>Eth</t>
  </si>
  <si>
    <t>0.4ml</t>
  </si>
  <si>
    <t>0.7ml</t>
  </si>
  <si>
    <t>Liberation Buffer</t>
  </si>
  <si>
    <t>Enzyme Buffer</t>
  </si>
  <si>
    <t>Total</t>
  </si>
  <si>
    <t>µl</t>
  </si>
  <si>
    <t>TST</t>
  </si>
  <si>
    <t>S1 (EB)</t>
  </si>
  <si>
    <t>PK</t>
  </si>
  <si>
    <t>EndoV</t>
  </si>
  <si>
    <t>M119</t>
  </si>
  <si>
    <t>Trans</t>
  </si>
  <si>
    <t>Synthsis</t>
  </si>
  <si>
    <t>Control</t>
  </si>
  <si>
    <t>Disp</t>
  </si>
  <si>
    <t>Advance set up</t>
  </si>
  <si>
    <t>1.8ml</t>
  </si>
  <si>
    <t>1ml</t>
  </si>
  <si>
    <t>Empty plate</t>
  </si>
  <si>
    <t>Preparation of the Enzyme Buffer</t>
  </si>
  <si>
    <t>S1</t>
  </si>
  <si>
    <t>Pooling solution</t>
  </si>
  <si>
    <t>Wash 2</t>
  </si>
  <si>
    <t>0.5ml</t>
  </si>
  <si>
    <t>TRASH</t>
  </si>
  <si>
    <t>Opentrons Set Up</t>
  </si>
  <si>
    <t>Initial volume of resin to introduce</t>
  </si>
  <si>
    <t>Date of the synthesis</t>
  </si>
  <si>
    <t>Name of the run</t>
  </si>
  <si>
    <t>Link to python script generator</t>
  </si>
  <si>
    <t>Date</t>
  </si>
  <si>
    <r>
      <t xml:space="preserve">Print protocol sheet 'OT2 Deck' to pdf 
in file </t>
    </r>
    <r>
      <rPr>
        <b/>
        <i/>
        <sz val="11"/>
        <color theme="1"/>
        <rFont val="Calibri"/>
        <family val="2"/>
        <scheme val="minor"/>
      </rPr>
      <t>Documents</t>
    </r>
  </si>
  <si>
    <t>Regeants references</t>
  </si>
  <si>
    <t>Resin</t>
  </si>
  <si>
    <t>/5AmMC12/CCCCCCCCCCCCCCCT/ideoxyI/TTCGTCGGCAGCGTCAGATGTGTATAAGAGACAG</t>
  </si>
  <si>
    <t>R699</t>
  </si>
  <si>
    <t>Enzyme</t>
  </si>
  <si>
    <t>GTP119L220113</t>
  </si>
  <si>
    <t>Additionnal sequence</t>
  </si>
  <si>
    <t>Additionnal sequences</t>
  </si>
  <si>
    <t>At the beginning</t>
  </si>
  <si>
    <t>At the end</t>
  </si>
  <si>
    <r>
      <t xml:space="preserve">Save excel in file </t>
    </r>
    <r>
      <rPr>
        <b/>
        <i/>
        <sz val="11"/>
        <rFont val="DIN Next LT Pro"/>
        <family val="2"/>
      </rPr>
      <t>Documents</t>
    </r>
  </si>
  <si>
    <t>ATCGAATCGA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</si>
</sst>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General&quot; ml&quot;"/>
    <numFmt numFmtId="165" formatCode="[$-F400]h:mm:ss\ AM/PM"/>
    <numFmt numFmtId="166" formatCode="0.0"/>
    <numFmt numFmtId="167" formatCode="yymmdd"/>
  </numFmts>
  <fonts count="46" x14ac:knownFonts="1">
    <font>
      <sz val="11"/>
      <color theme="1"/>
      <name val="Calibri"/>
      <family val="2"/>
      <scheme val="minor"/>
    </font>
    <font>
      <b/>
      <sz val="16"/>
      <color theme="0"/>
      <name val="DIN Next LT Pro"/>
      <family val="2"/>
    </font>
    <font>
      <b/>
      <sz val="12"/>
      <color theme="0"/>
      <name val="DIN Next LT Pro"/>
      <family val="2"/>
    </font>
    <font>
      <sz val="11"/>
      <color theme="1"/>
      <name val="DIN Next LT Pro"/>
      <family val="2"/>
    </font>
    <font>
      <b/>
      <sz val="11"/>
      <color theme="1"/>
      <name val="DIN Next LT Pro"/>
      <family val="2"/>
    </font>
    <font>
      <b/>
      <sz val="11"/>
      <color theme="0"/>
      <name val="DIN Next LT Pro"/>
      <family val="2"/>
    </font>
    <font>
      <sz val="11"/>
      <color theme="0"/>
      <name val="DIN Next LT Pro"/>
      <family val="2"/>
    </font>
    <font>
      <b/>
      <sz val="11"/>
      <name val="DIN Next LT Pro"/>
      <family val="2"/>
    </font>
    <font>
      <sz val="11"/>
      <name val="DIN Next LT Pro"/>
      <family val="2"/>
    </font>
    <font>
      <b/>
      <sz val="14"/>
      <color theme="0"/>
      <name val="DIN Next LT Pro"/>
      <family val="2"/>
    </font>
    <font>
      <b/>
      <sz val="18"/>
      <color theme="0"/>
      <name val="DIN Next LT Pro"/>
      <family val="2"/>
    </font>
    <font>
      <sz val="14"/>
      <color theme="1"/>
      <name val="DIN Next LT Pro"/>
      <family val="2"/>
    </font>
    <font>
      <b/>
      <sz val="18"/>
      <color theme="1"/>
      <name val="DIN Next LT Pro"/>
      <family val="2"/>
    </font>
    <font>
      <sz val="14"/>
      <color rgb="FF000000"/>
      <name val="DIN Next LT Pro"/>
      <family val="2"/>
    </font>
    <font>
      <sz val="18"/>
      <name val="DIN Next LT Pro"/>
      <family val="2"/>
    </font>
    <font>
      <b/>
      <sz val="14"/>
      <color rgb="FF000000"/>
      <name val="DIN Next LT Pro"/>
      <family val="2"/>
    </font>
    <font>
      <sz val="14"/>
      <name val="DIN Next LT Pro"/>
      <family val="2"/>
    </font>
    <font>
      <b/>
      <sz val="14"/>
      <name val="DIN Next LT Pro"/>
      <family val="2"/>
    </font>
    <font>
      <sz val="12"/>
      <name val="DIN Next LT Pro"/>
      <family val="2"/>
    </font>
    <font>
      <b/>
      <sz val="12"/>
      <color rgb="FF000000"/>
      <name val="DIN Next LT Pro"/>
      <family val="2"/>
    </font>
    <font>
      <b/>
      <sz val="24"/>
      <color theme="0"/>
      <name val="DIN Next LT Pro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4"/>
      <color rgb="FF000000"/>
      <name val="Calibri"/>
      <family val="2"/>
    </font>
    <font>
      <sz val="14"/>
      <color rgb="FF000000"/>
      <name val="Calibri"/>
      <family val="2"/>
    </font>
    <font>
      <sz val="18"/>
      <name val="Arial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4"/>
      <name val="Calibri"/>
      <family val="2"/>
      <scheme val="minor"/>
    </font>
    <font>
      <b/>
      <sz val="22"/>
      <color theme="0"/>
      <name val="DIN Next LT Pro"/>
      <family val="2"/>
    </font>
    <font>
      <b/>
      <sz val="20"/>
      <color theme="1"/>
      <name val="DIN Next LT Pro"/>
      <family val="2"/>
    </font>
    <font>
      <b/>
      <sz val="26"/>
      <color theme="0"/>
      <name val="DIN Next LT Pro"/>
      <family val="2"/>
    </font>
    <font>
      <b/>
      <sz val="11"/>
      <color theme="1"/>
      <name val="Calibri"/>
      <family val="2"/>
      <scheme val="minor"/>
    </font>
    <font>
      <sz val="18"/>
      <color theme="1"/>
      <name val="DIN Next LT Pro"/>
      <family val="2"/>
    </font>
    <font>
      <sz val="18"/>
      <color theme="0"/>
      <name val="DIN Next LT Pro"/>
      <family val="2"/>
    </font>
    <font>
      <b/>
      <i/>
      <sz val="11"/>
      <color theme="1"/>
      <name val="Calibri"/>
      <family val="2"/>
      <scheme val="minor"/>
    </font>
    <font>
      <b/>
      <sz val="12"/>
      <name val="DIN Next LT Pro"/>
      <family val="2"/>
    </font>
    <font>
      <b/>
      <sz val="10"/>
      <name val="DIN Next LT Pro"/>
      <family val="2"/>
    </font>
    <font>
      <b/>
      <sz val="18"/>
      <name val="DIN Next LT Pro"/>
      <family val="2"/>
    </font>
    <font>
      <sz val="16"/>
      <color theme="1"/>
      <name val="DIN Next LT Pro"/>
      <family val="2"/>
    </font>
    <font>
      <b/>
      <sz val="16"/>
      <color theme="1"/>
      <name val="DIN Next LT Pro"/>
      <family val="2"/>
    </font>
    <font>
      <b/>
      <i/>
      <sz val="11"/>
      <name val="DIN Next LT Pro"/>
      <family val="2"/>
    </font>
  </fonts>
  <fills count="3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B3C5DA"/>
        <bgColor indexed="64"/>
      </patternFill>
    </fill>
    <fill>
      <patternFill patternType="solid">
        <fgColor rgb="FFEBE7F2"/>
        <bgColor indexed="64"/>
      </patternFill>
    </fill>
    <fill>
      <patternFill patternType="solid">
        <fgColor rgb="FFE3BECA"/>
        <bgColor indexed="64"/>
      </patternFill>
    </fill>
    <fill>
      <patternFill patternType="solid">
        <fgColor rgb="FFF1D77F"/>
        <bgColor indexed="64"/>
      </patternFill>
    </fill>
    <fill>
      <patternFill patternType="solid">
        <fgColor rgb="FFC9D3BE"/>
        <bgColor indexed="64"/>
      </patternFill>
    </fill>
    <fill>
      <patternFill patternType="solid">
        <fgColor rgb="FFF8C891"/>
        <bgColor indexed="64"/>
      </patternFill>
    </fill>
    <fill>
      <patternFill patternType="solid">
        <fgColor rgb="FFD7CEE6"/>
        <bgColor indexed="64"/>
      </patternFill>
    </fill>
    <fill>
      <patternFill patternType="solid">
        <fgColor rgb="FFC4B6D9"/>
        <bgColor indexed="64"/>
      </patternFill>
    </fill>
    <fill>
      <patternFill patternType="solid">
        <fgColor rgb="FF9C85C0"/>
        <bgColor indexed="64"/>
      </patternFill>
    </fill>
    <fill>
      <patternFill patternType="solid">
        <fgColor rgb="FFCCD8E7"/>
        <bgColor indexed="64"/>
      </patternFill>
    </fill>
    <fill>
      <patternFill patternType="solid">
        <fgColor rgb="FF809EC2"/>
        <bgColor indexed="64"/>
      </patternFill>
    </fill>
    <fill>
      <patternFill patternType="solid">
        <fgColor rgb="FFF6E9ED"/>
        <bgColor indexed="64"/>
      </patternFill>
    </fill>
    <fill>
      <patternFill patternType="solid">
        <fgColor rgb="FFFF9B8E"/>
        <bgColor indexed="64"/>
      </patternFill>
    </fill>
    <fill>
      <patternFill patternType="solid">
        <fgColor rgb="FF42AAF9"/>
        <bgColor indexed="64"/>
      </patternFill>
    </fill>
    <fill>
      <patternFill patternType="solid">
        <fgColor rgb="FFFF2F2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5E7EC"/>
        <bgColor indexed="64"/>
      </patternFill>
    </fill>
    <fill>
      <patternFill patternType="solid">
        <fgColor theme="5" tint="0.59999389629810485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theme="4"/>
      </left>
      <right/>
      <top style="thick">
        <color theme="4"/>
      </top>
      <bottom/>
      <diagonal/>
    </border>
    <border>
      <left/>
      <right/>
      <top style="thick">
        <color theme="4"/>
      </top>
      <bottom/>
      <diagonal/>
    </border>
    <border>
      <left/>
      <right style="thick">
        <color theme="4"/>
      </right>
      <top style="thick">
        <color theme="4"/>
      </top>
      <bottom/>
      <diagonal/>
    </border>
    <border>
      <left style="thick">
        <color theme="4"/>
      </left>
      <right/>
      <top/>
      <bottom/>
      <diagonal/>
    </border>
    <border>
      <left/>
      <right style="thick">
        <color theme="4"/>
      </right>
      <top/>
      <bottom/>
      <diagonal/>
    </border>
    <border>
      <left style="thick">
        <color theme="4"/>
      </left>
      <right/>
      <top/>
      <bottom style="thick">
        <color theme="4"/>
      </bottom>
      <diagonal/>
    </border>
    <border>
      <left/>
      <right style="thick">
        <color theme="4"/>
      </right>
      <top/>
      <bottom style="thick">
        <color theme="4"/>
      </bottom>
      <diagonal/>
    </border>
    <border>
      <left/>
      <right/>
      <top/>
      <bottom style="thick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/>
      <right style="thick">
        <color indexed="64"/>
      </right>
      <top/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/>
      <diagonal/>
    </border>
    <border>
      <left style="medium">
        <color rgb="FF000000"/>
      </left>
      <right style="thick">
        <color indexed="64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rgb="FF000000"/>
      </bottom>
      <diagonal/>
    </border>
    <border>
      <left style="thick">
        <color indexed="64"/>
      </left>
      <right style="thick">
        <color rgb="FF000000"/>
      </right>
      <top/>
      <bottom style="thick">
        <color indexed="64"/>
      </bottom>
      <diagonal/>
    </border>
    <border>
      <left style="thick">
        <color rgb="FF000000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indexed="64"/>
      </bottom>
      <diagonal/>
    </border>
    <border>
      <left style="medium">
        <color rgb="FF000000"/>
      </left>
      <right style="thick">
        <color indexed="64"/>
      </right>
      <top style="medium">
        <color rgb="FF000000"/>
      </top>
      <bottom style="thick">
        <color indexed="64"/>
      </bottom>
      <diagonal/>
    </border>
    <border>
      <left style="thick">
        <color indexed="64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indexed="64"/>
      </top>
      <bottom style="medium">
        <color rgb="FF000000"/>
      </bottom>
      <diagonal/>
    </border>
    <border>
      <left style="thick">
        <color rgb="FF000000"/>
      </left>
      <right style="medium">
        <color rgb="FF000000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 style="thick">
        <color indexed="64"/>
      </right>
      <top style="thick">
        <color indexed="64"/>
      </top>
      <bottom style="medium">
        <color rgb="FF000000"/>
      </bottom>
      <diagonal/>
    </border>
    <border>
      <left style="medium">
        <color rgb="FF000000"/>
      </left>
      <right/>
      <top style="thick">
        <color rgb="FF000000"/>
      </top>
      <bottom style="medium">
        <color rgb="FF000000"/>
      </bottom>
      <diagonal/>
    </border>
    <border>
      <left style="thick">
        <color indexed="64"/>
      </left>
      <right style="medium">
        <color rgb="FF000000"/>
      </right>
      <top style="medium">
        <color rgb="FF000000"/>
      </top>
      <bottom style="thick">
        <color indexed="64"/>
      </bottom>
      <diagonal/>
    </border>
    <border>
      <left/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ck">
        <color rgb="FF000000"/>
      </bottom>
      <diagonal/>
    </border>
    <border>
      <left style="thick">
        <color theme="3"/>
      </left>
      <right/>
      <top style="thick">
        <color theme="3"/>
      </top>
      <bottom style="thick">
        <color theme="3"/>
      </bottom>
      <diagonal/>
    </border>
    <border>
      <left/>
      <right style="thick">
        <color theme="3"/>
      </right>
      <top style="thick">
        <color theme="3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3"/>
      </bottom>
      <diagonal/>
    </border>
    <border>
      <left/>
      <right style="thick">
        <color theme="4"/>
      </right>
      <top style="thick">
        <color theme="4"/>
      </top>
      <bottom style="thick">
        <color theme="3"/>
      </bottom>
      <diagonal/>
    </border>
    <border>
      <left style="thick">
        <color theme="4"/>
      </left>
      <right/>
      <top style="thick">
        <color theme="4"/>
      </top>
      <bottom style="thick">
        <color theme="4"/>
      </bottom>
      <diagonal/>
    </border>
    <border>
      <left/>
      <right/>
      <top style="thick">
        <color theme="4"/>
      </top>
      <bottom style="thick">
        <color theme="4"/>
      </bottom>
      <diagonal/>
    </border>
    <border>
      <left/>
      <right style="thick">
        <color theme="4"/>
      </right>
      <top style="thick">
        <color theme="4"/>
      </top>
      <bottom style="thick">
        <color theme="4"/>
      </bottom>
      <diagonal/>
    </border>
    <border>
      <left/>
      <right/>
      <top/>
      <bottom style="thick">
        <color indexed="64"/>
      </bottom>
      <diagonal/>
    </border>
    <border>
      <left style="thick">
        <color theme="4"/>
      </left>
      <right style="thick">
        <color theme="4"/>
      </right>
      <top/>
      <bottom/>
      <diagonal/>
    </border>
  </borders>
  <cellStyleXfs count="1">
    <xf numFmtId="0" fontId="0" fillId="0" borderId="0"/>
  </cellStyleXfs>
  <cellXfs count="370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1" fontId="7" fillId="6" borderId="0" xfId="0" applyNumberFormat="1" applyFont="1" applyFill="1" applyBorder="1" applyAlignment="1">
      <alignment horizontal="center" vertical="center"/>
    </xf>
    <xf numFmtId="0" fontId="7" fillId="5" borderId="0" xfId="0" applyNumberFormat="1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0" fontId="7" fillId="5" borderId="0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 vertical="center"/>
    </xf>
    <xf numFmtId="0" fontId="3" fillId="7" borderId="0" xfId="0" applyFont="1" applyFill="1" applyBorder="1" applyAlignment="1">
      <alignment horizontal="center" vertical="center"/>
    </xf>
    <xf numFmtId="0" fontId="3" fillId="7" borderId="12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1" xfId="0" applyFont="1" applyFill="1" applyBorder="1" applyAlignment="1">
      <alignment horizontal="center" vertical="center"/>
    </xf>
    <xf numFmtId="0" fontId="3" fillId="7" borderId="13" xfId="0" applyFont="1" applyFill="1" applyBorder="1" applyAlignment="1">
      <alignment horizontal="center" vertical="center"/>
    </xf>
    <xf numFmtId="0" fontId="3" fillId="6" borderId="0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3" fillId="0" borderId="0" xfId="0" applyFont="1"/>
    <xf numFmtId="0" fontId="13" fillId="6" borderId="15" xfId="0" applyFont="1" applyFill="1" applyBorder="1" applyAlignment="1">
      <alignment horizontal="center" vertical="center" wrapText="1" readingOrder="1"/>
    </xf>
    <xf numFmtId="0" fontId="14" fillId="6" borderId="16" xfId="0" applyFont="1" applyFill="1" applyBorder="1" applyAlignment="1">
      <alignment horizontal="center" vertical="center" wrapText="1"/>
    </xf>
    <xf numFmtId="0" fontId="14" fillId="6" borderId="17" xfId="0" applyFont="1" applyFill="1" applyBorder="1" applyAlignment="1">
      <alignment horizontal="center" vertical="center" wrapText="1"/>
    </xf>
    <xf numFmtId="0" fontId="15" fillId="6" borderId="18" xfId="0" applyFont="1" applyFill="1" applyBorder="1" applyAlignment="1">
      <alignment horizontal="center" vertical="center" wrapText="1" readingOrder="1"/>
    </xf>
    <xf numFmtId="0" fontId="16" fillId="6" borderId="17" xfId="0" applyFont="1" applyFill="1" applyBorder="1" applyAlignment="1">
      <alignment horizontal="center" vertical="center" wrapText="1"/>
    </xf>
    <xf numFmtId="0" fontId="13" fillId="9" borderId="15" xfId="0" applyFont="1" applyFill="1" applyBorder="1" applyAlignment="1">
      <alignment horizontal="center" vertical="center" wrapText="1" readingOrder="1"/>
    </xf>
    <xf numFmtId="0" fontId="14" fillId="9" borderId="16" xfId="0" applyFont="1" applyFill="1" applyBorder="1" applyAlignment="1">
      <alignment horizontal="center" vertical="center" wrapText="1"/>
    </xf>
    <xf numFmtId="0" fontId="14" fillId="9" borderId="17" xfId="0" applyFont="1" applyFill="1" applyBorder="1" applyAlignment="1">
      <alignment horizontal="center" vertical="center" wrapText="1"/>
    </xf>
    <xf numFmtId="0" fontId="14" fillId="9" borderId="18" xfId="0" applyFont="1" applyFill="1" applyBorder="1" applyAlignment="1">
      <alignment horizontal="center" vertical="center" wrapText="1"/>
    </xf>
    <xf numFmtId="0" fontId="13" fillId="10" borderId="15" xfId="0" applyFont="1" applyFill="1" applyBorder="1" applyAlignment="1">
      <alignment horizontal="center" vertical="center" wrapText="1" readingOrder="1"/>
    </xf>
    <xf numFmtId="0" fontId="14" fillId="10" borderId="16" xfId="0" applyFont="1" applyFill="1" applyBorder="1" applyAlignment="1">
      <alignment horizontal="center" vertical="center" wrapText="1"/>
    </xf>
    <xf numFmtId="0" fontId="13" fillId="11" borderId="15" xfId="0" applyFont="1" applyFill="1" applyBorder="1" applyAlignment="1">
      <alignment horizontal="center" vertical="center" wrapText="1" readingOrder="1"/>
    </xf>
    <xf numFmtId="0" fontId="14" fillId="11" borderId="16" xfId="0" applyFont="1" applyFill="1" applyBorder="1" applyAlignment="1">
      <alignment horizontal="center" vertical="center" wrapText="1"/>
    </xf>
    <xf numFmtId="0" fontId="13" fillId="12" borderId="15" xfId="0" applyFont="1" applyFill="1" applyBorder="1" applyAlignment="1">
      <alignment horizontal="center" vertical="center" wrapText="1" readingOrder="1"/>
    </xf>
    <xf numFmtId="0" fontId="14" fillId="12" borderId="16" xfId="0" applyFont="1" applyFill="1" applyBorder="1" applyAlignment="1">
      <alignment horizontal="center" vertical="center" wrapText="1"/>
    </xf>
    <xf numFmtId="0" fontId="13" fillId="13" borderId="15" xfId="0" applyFont="1" applyFill="1" applyBorder="1" applyAlignment="1">
      <alignment horizontal="center" vertical="center" wrapText="1" readingOrder="1"/>
    </xf>
    <xf numFmtId="0" fontId="14" fillId="13" borderId="16" xfId="0" applyFont="1" applyFill="1" applyBorder="1" applyAlignment="1">
      <alignment horizontal="center" vertical="center" wrapText="1"/>
    </xf>
    <xf numFmtId="0" fontId="13" fillId="14" borderId="15" xfId="0" applyFont="1" applyFill="1" applyBorder="1" applyAlignment="1">
      <alignment horizontal="center" vertical="center" wrapText="1" readingOrder="1"/>
    </xf>
    <xf numFmtId="0" fontId="14" fillId="14" borderId="16" xfId="0" applyFont="1" applyFill="1" applyBorder="1" applyAlignment="1">
      <alignment horizontal="center" vertical="center" wrapText="1"/>
    </xf>
    <xf numFmtId="0" fontId="13" fillId="15" borderId="15" xfId="0" applyFont="1" applyFill="1" applyBorder="1" applyAlignment="1">
      <alignment horizontal="center" vertical="center" wrapText="1" readingOrder="1"/>
    </xf>
    <xf numFmtId="0" fontId="14" fillId="15" borderId="16" xfId="0" applyFont="1" applyFill="1" applyBorder="1" applyAlignment="1">
      <alignment horizontal="center" vertical="center" wrapText="1"/>
    </xf>
    <xf numFmtId="0" fontId="14" fillId="10" borderId="17" xfId="0" applyFont="1" applyFill="1" applyBorder="1" applyAlignment="1">
      <alignment horizontal="center" vertical="center" wrapText="1"/>
    </xf>
    <xf numFmtId="0" fontId="15" fillId="10" borderId="18" xfId="0" applyFont="1" applyFill="1" applyBorder="1" applyAlignment="1">
      <alignment horizontal="center" vertical="center" wrapText="1" readingOrder="1"/>
    </xf>
    <xf numFmtId="0" fontId="14" fillId="11" borderId="17" xfId="0" applyFont="1" applyFill="1" applyBorder="1" applyAlignment="1">
      <alignment horizontal="center" vertical="center" wrapText="1"/>
    </xf>
    <xf numFmtId="0" fontId="15" fillId="11" borderId="18" xfId="0" applyFont="1" applyFill="1" applyBorder="1" applyAlignment="1">
      <alignment horizontal="center" vertical="center" wrapText="1" readingOrder="1"/>
    </xf>
    <xf numFmtId="0" fontId="14" fillId="12" borderId="17" xfId="0" applyFont="1" applyFill="1" applyBorder="1" applyAlignment="1">
      <alignment horizontal="center" vertical="center" wrapText="1"/>
    </xf>
    <xf numFmtId="0" fontId="15" fillId="12" borderId="18" xfId="0" applyFont="1" applyFill="1" applyBorder="1" applyAlignment="1">
      <alignment horizontal="center" vertical="center" wrapText="1" readingOrder="1"/>
    </xf>
    <xf numFmtId="0" fontId="14" fillId="13" borderId="17" xfId="0" applyFont="1" applyFill="1" applyBorder="1" applyAlignment="1">
      <alignment horizontal="center" vertical="center" wrapText="1"/>
    </xf>
    <xf numFmtId="0" fontId="15" fillId="13" borderId="18" xfId="0" applyFont="1" applyFill="1" applyBorder="1" applyAlignment="1">
      <alignment horizontal="center" vertical="center" wrapText="1" readingOrder="1"/>
    </xf>
    <xf numFmtId="0" fontId="14" fillId="14" borderId="17" xfId="0" applyFont="1" applyFill="1" applyBorder="1" applyAlignment="1">
      <alignment horizontal="center" vertical="center" wrapText="1"/>
    </xf>
    <xf numFmtId="0" fontId="15" fillId="14" borderId="18" xfId="0" applyFont="1" applyFill="1" applyBorder="1" applyAlignment="1">
      <alignment horizontal="center" vertical="center" wrapText="1" readingOrder="1"/>
    </xf>
    <xf numFmtId="0" fontId="14" fillId="15" borderId="17" xfId="0" applyFont="1" applyFill="1" applyBorder="1" applyAlignment="1">
      <alignment horizontal="center" vertical="center" wrapText="1"/>
    </xf>
    <xf numFmtId="0" fontId="15" fillId="15" borderId="18" xfId="0" applyFont="1" applyFill="1" applyBorder="1" applyAlignment="1">
      <alignment horizontal="center" vertical="center" wrapText="1" readingOrder="1"/>
    </xf>
    <xf numFmtId="0" fontId="13" fillId="16" borderId="15" xfId="0" applyFont="1" applyFill="1" applyBorder="1" applyAlignment="1">
      <alignment horizontal="center" vertical="center" wrapText="1" readingOrder="1"/>
    </xf>
    <xf numFmtId="0" fontId="14" fillId="16" borderId="16" xfId="0" applyFont="1" applyFill="1" applyBorder="1" applyAlignment="1">
      <alignment horizontal="center" vertical="center" wrapText="1"/>
    </xf>
    <xf numFmtId="0" fontId="14" fillId="16" borderId="17" xfId="0" applyFont="1" applyFill="1" applyBorder="1" applyAlignment="1">
      <alignment horizontal="center" vertical="center" wrapText="1"/>
    </xf>
    <xf numFmtId="0" fontId="15" fillId="16" borderId="18" xfId="0" applyFont="1" applyFill="1" applyBorder="1" applyAlignment="1">
      <alignment horizontal="center" vertical="center" wrapText="1" readingOrder="1"/>
    </xf>
    <xf numFmtId="0" fontId="13" fillId="17" borderId="15" xfId="0" applyFont="1" applyFill="1" applyBorder="1" applyAlignment="1">
      <alignment horizontal="center" vertical="center" wrapText="1" readingOrder="1"/>
    </xf>
    <xf numFmtId="0" fontId="14" fillId="17" borderId="16" xfId="0" applyFont="1" applyFill="1" applyBorder="1" applyAlignment="1">
      <alignment horizontal="center" vertical="center" wrapText="1"/>
    </xf>
    <xf numFmtId="0" fontId="14" fillId="17" borderId="17" xfId="0" applyFont="1" applyFill="1" applyBorder="1" applyAlignment="1">
      <alignment horizontal="center" vertical="center" wrapText="1"/>
    </xf>
    <xf numFmtId="0" fontId="15" fillId="17" borderId="18" xfId="0" applyFont="1" applyFill="1" applyBorder="1" applyAlignment="1">
      <alignment horizontal="center" vertical="center" wrapText="1" readingOrder="1"/>
    </xf>
    <xf numFmtId="0" fontId="13" fillId="18" borderId="15" xfId="0" applyFont="1" applyFill="1" applyBorder="1" applyAlignment="1">
      <alignment horizontal="center" vertical="center" wrapText="1" readingOrder="1"/>
    </xf>
    <xf numFmtId="0" fontId="14" fillId="18" borderId="16" xfId="0" applyFont="1" applyFill="1" applyBorder="1" applyAlignment="1">
      <alignment horizontal="center" vertical="center" wrapText="1"/>
    </xf>
    <xf numFmtId="0" fontId="15" fillId="18" borderId="18" xfId="0" applyFont="1" applyFill="1" applyBorder="1" applyAlignment="1">
      <alignment horizontal="center" vertical="center" wrapText="1" readingOrder="1"/>
    </xf>
    <xf numFmtId="0" fontId="13" fillId="0" borderId="15" xfId="0" applyFont="1" applyBorder="1" applyAlignment="1">
      <alignment horizontal="center" vertical="center" wrapText="1" readingOrder="1"/>
    </xf>
    <xf numFmtId="0" fontId="14" fillId="0" borderId="16" xfId="0" applyFont="1" applyBorder="1" applyAlignment="1">
      <alignment horizontal="center" vertical="center" wrapText="1"/>
    </xf>
    <xf numFmtId="0" fontId="15" fillId="10" borderId="16" xfId="0" applyFont="1" applyFill="1" applyBorder="1" applyAlignment="1">
      <alignment horizontal="center" vertical="center" wrapText="1" readingOrder="1"/>
    </xf>
    <xf numFmtId="164" fontId="17" fillId="11" borderId="17" xfId="0" applyNumberFormat="1" applyFont="1" applyFill="1" applyBorder="1" applyAlignment="1">
      <alignment horizontal="center" vertical="center" wrapText="1"/>
    </xf>
    <xf numFmtId="164" fontId="17" fillId="12" borderId="17" xfId="0" applyNumberFormat="1" applyFont="1" applyFill="1" applyBorder="1" applyAlignment="1">
      <alignment horizontal="center" vertical="center" wrapText="1"/>
    </xf>
    <xf numFmtId="164" fontId="17" fillId="13" borderId="17" xfId="0" applyNumberFormat="1" applyFont="1" applyFill="1" applyBorder="1" applyAlignment="1">
      <alignment horizontal="center" vertical="center" wrapText="1"/>
    </xf>
    <xf numFmtId="164" fontId="17" fillId="14" borderId="17" xfId="0" applyNumberFormat="1" applyFont="1" applyFill="1" applyBorder="1" applyAlignment="1">
      <alignment horizontal="center" vertical="center" wrapText="1"/>
    </xf>
    <xf numFmtId="164" fontId="17" fillId="15" borderId="17" xfId="0" applyNumberFormat="1" applyFont="1" applyFill="1" applyBorder="1" applyAlignment="1">
      <alignment horizontal="center" vertical="center" wrapText="1"/>
    </xf>
    <xf numFmtId="0" fontId="14" fillId="0" borderId="17" xfId="0" applyFont="1" applyBorder="1" applyAlignment="1">
      <alignment horizontal="center" vertical="center" wrapText="1"/>
    </xf>
    <xf numFmtId="0" fontId="14" fillId="0" borderId="18" xfId="0" applyFont="1" applyBorder="1" applyAlignment="1">
      <alignment horizontal="center" vertical="center" wrapText="1"/>
    </xf>
    <xf numFmtId="164" fontId="15" fillId="10" borderId="17" xfId="0" applyNumberFormat="1" applyFont="1" applyFill="1" applyBorder="1" applyAlignment="1">
      <alignment horizontal="center" vertical="center" wrapText="1" readingOrder="1"/>
    </xf>
    <xf numFmtId="164" fontId="17" fillId="16" borderId="17" xfId="0" applyNumberFormat="1" applyFont="1" applyFill="1" applyBorder="1" applyAlignment="1">
      <alignment horizontal="center" vertical="center" wrapText="1"/>
    </xf>
    <xf numFmtId="164" fontId="17" fillId="17" borderId="17" xfId="0" applyNumberFormat="1" applyFont="1" applyFill="1" applyBorder="1" applyAlignment="1">
      <alignment horizontal="center" vertical="center" wrapText="1"/>
    </xf>
    <xf numFmtId="164" fontId="17" fillId="18" borderId="17" xfId="0" applyNumberFormat="1" applyFont="1" applyFill="1" applyBorder="1" applyAlignment="1">
      <alignment horizontal="center" vertical="center" wrapText="1"/>
    </xf>
    <xf numFmtId="0" fontId="8" fillId="0" borderId="16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15" fillId="6" borderId="17" xfId="0" applyFont="1" applyFill="1" applyBorder="1" applyAlignment="1">
      <alignment horizontal="center" vertical="center" wrapText="1" readingOrder="1"/>
    </xf>
    <xf numFmtId="0" fontId="18" fillId="9" borderId="17" xfId="0" applyFont="1" applyFill="1" applyBorder="1" applyAlignment="1">
      <alignment horizontal="center" vertical="center" wrapText="1"/>
    </xf>
    <xf numFmtId="0" fontId="18" fillId="9" borderId="18" xfId="0" applyFont="1" applyFill="1" applyBorder="1" applyAlignment="1">
      <alignment horizontal="center" vertical="center" wrapText="1"/>
    </xf>
    <xf numFmtId="0" fontId="18" fillId="0" borderId="17" xfId="0" applyFont="1" applyBorder="1" applyAlignment="1">
      <alignment horizontal="center" vertical="center" wrapText="1"/>
    </xf>
    <xf numFmtId="0" fontId="18" fillId="0" borderId="18" xfId="0" applyFont="1" applyBorder="1" applyAlignment="1">
      <alignment horizontal="center" vertical="center" wrapText="1"/>
    </xf>
    <xf numFmtId="0" fontId="14" fillId="6" borderId="21" xfId="0" applyFont="1" applyFill="1" applyBorder="1" applyAlignment="1">
      <alignment horizontal="center" vertical="center" wrapText="1"/>
    </xf>
    <xf numFmtId="0" fontId="15" fillId="6" borderId="22" xfId="0" applyFont="1" applyFill="1" applyBorder="1" applyAlignment="1">
      <alignment horizontal="center" vertical="center" wrapText="1" readingOrder="1"/>
    </xf>
    <xf numFmtId="0" fontId="14" fillId="9" borderId="21" xfId="0" applyFont="1" applyFill="1" applyBorder="1" applyAlignment="1">
      <alignment horizontal="center" vertical="center" wrapText="1"/>
    </xf>
    <xf numFmtId="0" fontId="14" fillId="9" borderId="22" xfId="0" applyFont="1" applyFill="1" applyBorder="1" applyAlignment="1">
      <alignment horizontal="center" vertical="center" wrapText="1"/>
    </xf>
    <xf numFmtId="0" fontId="14" fillId="15" borderId="21" xfId="0" applyFont="1" applyFill="1" applyBorder="1" applyAlignment="1">
      <alignment horizontal="center" vertical="center" wrapText="1"/>
    </xf>
    <xf numFmtId="0" fontId="15" fillId="15" borderId="22" xfId="0" applyFont="1" applyFill="1" applyBorder="1" applyAlignment="1">
      <alignment horizontal="center" vertical="center" wrapText="1" readingOrder="1"/>
    </xf>
    <xf numFmtId="0" fontId="14" fillId="9" borderId="24" xfId="0" applyFont="1" applyFill="1" applyBorder="1" applyAlignment="1">
      <alignment horizontal="center" vertical="center" wrapText="1"/>
    </xf>
    <xf numFmtId="0" fontId="14" fillId="9" borderId="25" xfId="0" applyFont="1" applyFill="1" applyBorder="1" applyAlignment="1">
      <alignment horizontal="center" vertical="center" wrapText="1"/>
    </xf>
    <xf numFmtId="0" fontId="14" fillId="10" borderId="24" xfId="0" applyFont="1" applyFill="1" applyBorder="1" applyAlignment="1">
      <alignment horizontal="center" vertical="center" wrapText="1"/>
    </xf>
    <xf numFmtId="0" fontId="15" fillId="10" borderId="25" xfId="0" applyFont="1" applyFill="1" applyBorder="1" applyAlignment="1">
      <alignment horizontal="center" vertical="center" wrapText="1" readingOrder="1"/>
    </xf>
    <xf numFmtId="0" fontId="14" fillId="18" borderId="24" xfId="0" applyFont="1" applyFill="1" applyBorder="1" applyAlignment="1">
      <alignment horizontal="center" vertical="center" wrapText="1"/>
    </xf>
    <xf numFmtId="0" fontId="15" fillId="18" borderId="25" xfId="0" applyFont="1" applyFill="1" applyBorder="1" applyAlignment="1">
      <alignment horizontal="center" vertical="center" wrapText="1" readingOrder="1"/>
    </xf>
    <xf numFmtId="0" fontId="14" fillId="12" borderId="24" xfId="0" applyFont="1" applyFill="1" applyBorder="1" applyAlignment="1">
      <alignment horizontal="center" vertical="center" wrapText="1"/>
    </xf>
    <xf numFmtId="0" fontId="15" fillId="12" borderId="25" xfId="0" applyFont="1" applyFill="1" applyBorder="1" applyAlignment="1">
      <alignment horizontal="center" vertical="center" wrapText="1" readingOrder="1"/>
    </xf>
    <xf numFmtId="0" fontId="14" fillId="13" borderId="24" xfId="0" applyFont="1" applyFill="1" applyBorder="1" applyAlignment="1">
      <alignment horizontal="center" vertical="center" wrapText="1"/>
    </xf>
    <xf numFmtId="0" fontId="15" fillId="13" borderId="25" xfId="0" applyFont="1" applyFill="1" applyBorder="1" applyAlignment="1">
      <alignment horizontal="center" vertical="center" wrapText="1" readingOrder="1"/>
    </xf>
    <xf numFmtId="0" fontId="14" fillId="14" borderId="24" xfId="0" applyFont="1" applyFill="1" applyBorder="1" applyAlignment="1">
      <alignment horizontal="center" vertical="center" wrapText="1"/>
    </xf>
    <xf numFmtId="0" fontId="15" fillId="14" borderId="25" xfId="0" applyFont="1" applyFill="1" applyBorder="1" applyAlignment="1">
      <alignment horizontal="center" vertical="center" wrapText="1" readingOrder="1"/>
    </xf>
    <xf numFmtId="0" fontId="14" fillId="15" borderId="24" xfId="0" applyFont="1" applyFill="1" applyBorder="1" applyAlignment="1">
      <alignment horizontal="center" vertical="center" wrapText="1"/>
    </xf>
    <xf numFmtId="0" fontId="15" fillId="15" borderId="26" xfId="0" applyFont="1" applyFill="1" applyBorder="1" applyAlignment="1">
      <alignment horizontal="center" vertical="center" wrapText="1" readingOrder="1"/>
    </xf>
    <xf numFmtId="0" fontId="3" fillId="5" borderId="5" xfId="0" applyFont="1" applyFill="1" applyBorder="1"/>
    <xf numFmtId="0" fontId="19" fillId="10" borderId="16" xfId="0" applyFont="1" applyFill="1" applyBorder="1" applyAlignment="1">
      <alignment horizontal="center" vertical="center" wrapText="1" readingOrder="1"/>
    </xf>
    <xf numFmtId="0" fontId="21" fillId="8" borderId="15" xfId="0" applyFont="1" applyFill="1" applyBorder="1" applyAlignment="1">
      <alignment horizontal="center" vertical="center" wrapText="1" readingOrder="1"/>
    </xf>
    <xf numFmtId="0" fontId="22" fillId="8" borderId="16" xfId="0" applyFont="1" applyFill="1" applyBorder="1" applyAlignment="1">
      <alignment horizontal="center" vertical="center" wrapText="1"/>
    </xf>
    <xf numFmtId="0" fontId="22" fillId="8" borderId="17" xfId="0" applyFont="1" applyFill="1" applyBorder="1" applyAlignment="1">
      <alignment horizontal="center" vertical="center" wrapText="1"/>
    </xf>
    <xf numFmtId="0" fontId="23" fillId="8" borderId="18" xfId="0" applyFont="1" applyFill="1" applyBorder="1" applyAlignment="1">
      <alignment horizontal="center" vertical="center" wrapText="1" readingOrder="1"/>
    </xf>
    <xf numFmtId="0" fontId="21" fillId="6" borderId="15" xfId="0" applyFont="1" applyFill="1" applyBorder="1" applyAlignment="1">
      <alignment horizontal="center" vertical="center" wrapText="1" readingOrder="1"/>
    </xf>
    <xf numFmtId="0" fontId="22" fillId="6" borderId="16" xfId="0" applyFont="1" applyFill="1" applyBorder="1" applyAlignment="1">
      <alignment horizontal="center" vertical="center" wrapText="1"/>
    </xf>
    <xf numFmtId="0" fontId="22" fillId="6" borderId="17" xfId="0" applyFont="1" applyFill="1" applyBorder="1" applyAlignment="1">
      <alignment horizontal="center" vertical="center" wrapText="1"/>
    </xf>
    <xf numFmtId="0" fontId="23" fillId="6" borderId="18" xfId="0" applyFont="1" applyFill="1" applyBorder="1" applyAlignment="1">
      <alignment horizontal="center" vertical="center" wrapText="1" readingOrder="1"/>
    </xf>
    <xf numFmtId="0" fontId="13" fillId="0" borderId="15" xfId="0" applyFont="1" applyFill="1" applyBorder="1" applyAlignment="1">
      <alignment horizontal="center" vertical="center" wrapText="1" readingOrder="1"/>
    </xf>
    <xf numFmtId="0" fontId="14" fillId="0" borderId="16" xfId="0" applyFont="1" applyFill="1" applyBorder="1" applyAlignment="1">
      <alignment horizontal="center" vertical="center" wrapText="1"/>
    </xf>
    <xf numFmtId="0" fontId="14" fillId="0" borderId="17" xfId="0" applyFont="1" applyFill="1" applyBorder="1" applyAlignment="1">
      <alignment horizontal="center" vertical="center" wrapText="1"/>
    </xf>
    <xf numFmtId="0" fontId="15" fillId="0" borderId="18" xfId="0" applyFont="1" applyFill="1" applyBorder="1" applyAlignment="1">
      <alignment horizontal="center" vertical="center" wrapText="1" readingOrder="1"/>
    </xf>
    <xf numFmtId="0" fontId="14" fillId="0" borderId="18" xfId="0" applyFont="1" applyFill="1" applyBorder="1" applyAlignment="1">
      <alignment horizontal="center" vertical="center" wrapText="1"/>
    </xf>
    <xf numFmtId="0" fontId="14" fillId="0" borderId="24" xfId="0" applyFont="1" applyFill="1" applyBorder="1" applyAlignment="1">
      <alignment horizontal="center" vertical="center" wrapText="1"/>
    </xf>
    <xf numFmtId="0" fontId="15" fillId="0" borderId="25" xfId="0" applyFont="1" applyFill="1" applyBorder="1" applyAlignment="1">
      <alignment horizontal="center" vertical="center" wrapText="1" readingOrder="1"/>
    </xf>
    <xf numFmtId="0" fontId="14" fillId="0" borderId="25" xfId="0" applyFont="1" applyFill="1" applyBorder="1" applyAlignment="1">
      <alignment horizontal="center" vertical="center" wrapText="1"/>
    </xf>
    <xf numFmtId="0" fontId="21" fillId="9" borderId="15" xfId="0" applyFont="1" applyFill="1" applyBorder="1" applyAlignment="1">
      <alignment horizontal="center" vertical="center" wrapText="1" readingOrder="1"/>
    </xf>
    <xf numFmtId="0" fontId="22" fillId="9" borderId="16" xfId="0" applyFont="1" applyFill="1" applyBorder="1" applyAlignment="1">
      <alignment horizontal="center" vertical="center" wrapText="1"/>
    </xf>
    <xf numFmtId="0" fontId="22" fillId="9" borderId="17" xfId="0" applyFont="1" applyFill="1" applyBorder="1" applyAlignment="1">
      <alignment horizontal="center" vertical="center" wrapText="1"/>
    </xf>
    <xf numFmtId="0" fontId="22" fillId="9" borderId="18" xfId="0" applyFont="1" applyFill="1" applyBorder="1" applyAlignment="1">
      <alignment horizontal="center" vertical="center" wrapText="1"/>
    </xf>
    <xf numFmtId="0" fontId="24" fillId="22" borderId="15" xfId="0" applyFont="1" applyFill="1" applyBorder="1" applyAlignment="1">
      <alignment horizontal="center" vertical="center" wrapText="1" readingOrder="1"/>
    </xf>
    <xf numFmtId="0" fontId="25" fillId="22" borderId="16" xfId="0" applyFont="1" applyFill="1" applyBorder="1" applyAlignment="1">
      <alignment horizontal="center" vertical="center" wrapText="1"/>
    </xf>
    <xf numFmtId="0" fontId="24" fillId="23" borderId="15" xfId="0" applyFont="1" applyFill="1" applyBorder="1" applyAlignment="1">
      <alignment horizontal="center" vertical="center" wrapText="1" readingOrder="1"/>
    </xf>
    <xf numFmtId="0" fontId="25" fillId="23" borderId="16" xfId="0" applyFont="1" applyFill="1" applyBorder="1" applyAlignment="1">
      <alignment horizontal="center" vertical="center" wrapText="1"/>
    </xf>
    <xf numFmtId="0" fontId="23" fillId="22" borderId="17" xfId="0" applyFont="1" applyFill="1" applyBorder="1" applyAlignment="1">
      <alignment horizontal="center" vertical="center" wrapText="1" readingOrder="1"/>
    </xf>
    <xf numFmtId="0" fontId="23" fillId="22" borderId="18" xfId="0" applyFont="1" applyFill="1" applyBorder="1" applyAlignment="1">
      <alignment horizontal="center" vertical="center" wrapText="1" readingOrder="1"/>
    </xf>
    <xf numFmtId="0" fontId="23" fillId="23" borderId="17" xfId="0" applyFont="1" applyFill="1" applyBorder="1" applyAlignment="1">
      <alignment horizontal="center" vertical="center" wrapText="1" readingOrder="1"/>
    </xf>
    <xf numFmtId="0" fontId="23" fillId="23" borderId="18" xfId="0" applyFont="1" applyFill="1" applyBorder="1" applyAlignment="1">
      <alignment horizontal="center" vertical="center" wrapText="1" readingOrder="1"/>
    </xf>
    <xf numFmtId="0" fontId="21" fillId="22" borderId="27" xfId="0" applyFont="1" applyFill="1" applyBorder="1" applyAlignment="1">
      <alignment horizontal="center" vertical="center" wrapText="1" readingOrder="1"/>
    </xf>
    <xf numFmtId="0" fontId="22" fillId="22" borderId="28" xfId="0" applyFont="1" applyFill="1" applyBorder="1" applyAlignment="1">
      <alignment horizontal="center" vertical="center" wrapText="1"/>
    </xf>
    <xf numFmtId="0" fontId="21" fillId="22" borderId="29" xfId="0" applyFont="1" applyFill="1" applyBorder="1" applyAlignment="1">
      <alignment horizontal="center" vertical="center" wrapText="1" readingOrder="1"/>
    </xf>
    <xf numFmtId="0" fontId="22" fillId="22" borderId="30" xfId="0" applyFont="1" applyFill="1" applyBorder="1" applyAlignment="1">
      <alignment horizontal="center" vertical="center" wrapText="1"/>
    </xf>
    <xf numFmtId="0" fontId="21" fillId="23" borderId="27" xfId="0" applyFont="1" applyFill="1" applyBorder="1" applyAlignment="1">
      <alignment horizontal="center" vertical="center" wrapText="1" readingOrder="1"/>
    </xf>
    <xf numFmtId="0" fontId="22" fillId="23" borderId="30" xfId="0" applyFont="1" applyFill="1" applyBorder="1" applyAlignment="1">
      <alignment horizontal="center" vertical="center" wrapText="1"/>
    </xf>
    <xf numFmtId="0" fontId="22" fillId="22" borderId="32" xfId="0" applyFont="1" applyFill="1" applyBorder="1" applyAlignment="1">
      <alignment horizontal="center" vertical="center" wrapText="1"/>
    </xf>
    <xf numFmtId="0" fontId="23" fillId="22" borderId="25" xfId="0" applyFont="1" applyFill="1" applyBorder="1" applyAlignment="1">
      <alignment horizontal="center" vertical="center" wrapText="1" readingOrder="1"/>
    </xf>
    <xf numFmtId="0" fontId="29" fillId="22" borderId="24" xfId="0" applyFont="1" applyFill="1" applyBorder="1" applyAlignment="1">
      <alignment horizontal="center" vertical="center" wrapText="1"/>
    </xf>
    <xf numFmtId="0" fontId="23" fillId="22" borderId="26" xfId="0" applyFont="1" applyFill="1" applyBorder="1" applyAlignment="1">
      <alignment horizontal="center" vertical="center" wrapText="1" readingOrder="1"/>
    </xf>
    <xf numFmtId="0" fontId="30" fillId="23" borderId="33" xfId="0" applyFont="1" applyFill="1" applyBorder="1" applyAlignment="1">
      <alignment horizontal="center" vertical="center" wrapText="1"/>
    </xf>
    <xf numFmtId="0" fontId="23" fillId="23" borderId="34" xfId="0" applyFont="1" applyFill="1" applyBorder="1" applyAlignment="1">
      <alignment horizontal="center" vertical="center" wrapText="1" readingOrder="1"/>
    </xf>
    <xf numFmtId="0" fontId="29" fillId="23" borderId="32" xfId="0" applyFont="1" applyFill="1" applyBorder="1" applyAlignment="1">
      <alignment horizontal="center" vertical="center" wrapText="1"/>
    </xf>
    <xf numFmtId="0" fontId="23" fillId="23" borderId="26" xfId="0" applyFont="1" applyFill="1" applyBorder="1" applyAlignment="1">
      <alignment horizontal="center" vertical="center" wrapText="1" readingOrder="1"/>
    </xf>
    <xf numFmtId="0" fontId="31" fillId="23" borderId="16" xfId="0" applyFont="1" applyFill="1" applyBorder="1" applyAlignment="1">
      <alignment horizontal="center" vertical="center" wrapText="1"/>
    </xf>
    <xf numFmtId="0" fontId="31" fillId="23" borderId="31" xfId="0" applyFont="1" applyFill="1" applyBorder="1" applyAlignment="1">
      <alignment horizontal="center" vertical="center" wrapText="1"/>
    </xf>
    <xf numFmtId="0" fontId="21" fillId="23" borderId="15" xfId="0" applyFont="1" applyFill="1" applyBorder="1" applyAlignment="1">
      <alignment horizontal="center" vertical="center" wrapText="1" readingOrder="1"/>
    </xf>
    <xf numFmtId="0" fontId="22" fillId="23" borderId="16" xfId="0" applyFont="1" applyFill="1" applyBorder="1" applyAlignment="1">
      <alignment horizontal="center" vertical="center" wrapText="1"/>
    </xf>
    <xf numFmtId="0" fontId="21" fillId="29" borderId="15" xfId="0" applyFont="1" applyFill="1" applyBorder="1" applyAlignment="1">
      <alignment horizontal="center" vertical="center" wrapText="1" readingOrder="1"/>
    </xf>
    <xf numFmtId="0" fontId="22" fillId="29" borderId="16" xfId="0" applyFont="1" applyFill="1" applyBorder="1" applyAlignment="1">
      <alignment horizontal="center" vertical="center" wrapText="1"/>
    </xf>
    <xf numFmtId="0" fontId="22" fillId="29" borderId="17" xfId="0" applyFont="1" applyFill="1" applyBorder="1" applyAlignment="1">
      <alignment horizontal="center" vertical="center" wrapText="1"/>
    </xf>
    <xf numFmtId="0" fontId="22" fillId="29" borderId="18" xfId="0" applyFont="1" applyFill="1" applyBorder="1" applyAlignment="1">
      <alignment horizontal="center" vertical="center" wrapText="1"/>
    </xf>
    <xf numFmtId="0" fontId="9" fillId="29" borderId="18" xfId="0" applyFont="1" applyFill="1" applyBorder="1" applyAlignment="1">
      <alignment horizontal="center" vertical="center" wrapText="1"/>
    </xf>
    <xf numFmtId="165" fontId="3" fillId="0" borderId="36" xfId="0" applyNumberFormat="1" applyFont="1" applyBorder="1" applyAlignment="1">
      <alignment horizontal="center" vertical="center"/>
    </xf>
    <xf numFmtId="0" fontId="5" fillId="3" borderId="35" xfId="0" applyFont="1" applyFill="1" applyBorder="1" applyAlignment="1">
      <alignment horizontal="center" vertical="center"/>
    </xf>
    <xf numFmtId="0" fontId="21" fillId="30" borderId="15" xfId="0" applyFont="1" applyFill="1" applyBorder="1" applyAlignment="1">
      <alignment horizontal="center" vertical="center" wrapText="1" readingOrder="1"/>
    </xf>
    <xf numFmtId="0" fontId="22" fillId="30" borderId="16" xfId="0" applyFont="1" applyFill="1" applyBorder="1" applyAlignment="1">
      <alignment horizontal="center" vertical="center" wrapText="1"/>
    </xf>
    <xf numFmtId="0" fontId="22" fillId="30" borderId="17" xfId="0" applyFont="1" applyFill="1" applyBorder="1" applyAlignment="1">
      <alignment horizontal="center" vertical="center" wrapText="1"/>
    </xf>
    <xf numFmtId="0" fontId="9" fillId="30" borderId="18" xfId="0" applyFont="1" applyFill="1" applyBorder="1" applyAlignment="1">
      <alignment horizontal="center" vertical="center" wrapText="1"/>
    </xf>
    <xf numFmtId="0" fontId="22" fillId="30" borderId="18" xfId="0" applyFont="1" applyFill="1" applyBorder="1" applyAlignment="1">
      <alignment horizontal="center" vertical="center" wrapText="1"/>
    </xf>
    <xf numFmtId="0" fontId="22" fillId="6" borderId="18" xfId="0" applyFont="1" applyFill="1" applyBorder="1" applyAlignment="1">
      <alignment horizontal="center" vertical="center" wrapText="1"/>
    </xf>
    <xf numFmtId="0" fontId="9" fillId="6" borderId="18" xfId="0" applyFont="1" applyFill="1" applyBorder="1" applyAlignment="1">
      <alignment horizontal="center" vertical="center" wrapText="1"/>
    </xf>
    <xf numFmtId="0" fontId="5" fillId="2" borderId="0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3" fillId="0" borderId="0" xfId="0" applyFont="1" applyAlignment="1"/>
    <xf numFmtId="0" fontId="21" fillId="19" borderId="15" xfId="0" applyFont="1" applyFill="1" applyBorder="1" applyAlignment="1">
      <alignment horizontal="center" vertical="center" wrapText="1" readingOrder="1"/>
    </xf>
    <xf numFmtId="0" fontId="22" fillId="19" borderId="16" xfId="0" applyFont="1" applyFill="1" applyBorder="1" applyAlignment="1">
      <alignment horizontal="center" vertical="center" wrapText="1"/>
    </xf>
    <xf numFmtId="0" fontId="22" fillId="19" borderId="17" xfId="0" applyFont="1" applyFill="1" applyBorder="1" applyAlignment="1">
      <alignment horizontal="center" vertical="center" wrapText="1"/>
    </xf>
    <xf numFmtId="0" fontId="23" fillId="19" borderId="18" xfId="0" applyFont="1" applyFill="1" applyBorder="1" applyAlignment="1">
      <alignment horizontal="center" vertical="center" wrapText="1" readingOrder="1"/>
    </xf>
    <xf numFmtId="0" fontId="21" fillId="10" borderId="15" xfId="0" applyFont="1" applyFill="1" applyBorder="1" applyAlignment="1">
      <alignment horizontal="center" vertical="center" wrapText="1" readingOrder="1"/>
    </xf>
    <xf numFmtId="0" fontId="22" fillId="10" borderId="16" xfId="0" applyFont="1" applyFill="1" applyBorder="1" applyAlignment="1">
      <alignment horizontal="center" vertical="center" wrapText="1"/>
    </xf>
    <xf numFmtId="0" fontId="22" fillId="10" borderId="17" xfId="0" applyFont="1" applyFill="1" applyBorder="1" applyAlignment="1">
      <alignment horizontal="center" vertical="center" wrapText="1"/>
    </xf>
    <xf numFmtId="0" fontId="23" fillId="10" borderId="18" xfId="0" applyFont="1" applyFill="1" applyBorder="1" applyAlignment="1">
      <alignment horizontal="center" vertical="center" wrapText="1" readingOrder="1"/>
    </xf>
    <xf numFmtId="0" fontId="21" fillId="20" borderId="15" xfId="0" applyFont="1" applyFill="1" applyBorder="1" applyAlignment="1">
      <alignment horizontal="center" vertical="center" wrapText="1" readingOrder="1"/>
    </xf>
    <xf numFmtId="0" fontId="22" fillId="20" borderId="16" xfId="0" applyFont="1" applyFill="1" applyBorder="1" applyAlignment="1">
      <alignment horizontal="center" vertical="center" wrapText="1"/>
    </xf>
    <xf numFmtId="0" fontId="22" fillId="20" borderId="17" xfId="0" applyFont="1" applyFill="1" applyBorder="1" applyAlignment="1">
      <alignment horizontal="center" vertical="center" wrapText="1"/>
    </xf>
    <xf numFmtId="0" fontId="23" fillId="20" borderId="18" xfId="0" applyFont="1" applyFill="1" applyBorder="1" applyAlignment="1">
      <alignment horizontal="center" vertical="center" wrapText="1" readingOrder="1"/>
    </xf>
    <xf numFmtId="0" fontId="21" fillId="11" borderId="15" xfId="0" applyFont="1" applyFill="1" applyBorder="1" applyAlignment="1">
      <alignment horizontal="center" vertical="center" wrapText="1" readingOrder="1"/>
    </xf>
    <xf numFmtId="0" fontId="22" fillId="11" borderId="16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23" fillId="11" borderId="18" xfId="0" applyFont="1" applyFill="1" applyBorder="1" applyAlignment="1">
      <alignment horizontal="center" vertical="center" wrapText="1" readingOrder="1"/>
    </xf>
    <xf numFmtId="0" fontId="21" fillId="16" borderId="15" xfId="0" applyFont="1" applyFill="1" applyBorder="1" applyAlignment="1">
      <alignment horizontal="center" vertical="center" wrapText="1" readingOrder="1"/>
    </xf>
    <xf numFmtId="0" fontId="22" fillId="16" borderId="16" xfId="0" applyFont="1" applyFill="1" applyBorder="1" applyAlignment="1">
      <alignment horizontal="center" vertical="center" wrapText="1"/>
    </xf>
    <xf numFmtId="0" fontId="22" fillId="16" borderId="17" xfId="0" applyFont="1" applyFill="1" applyBorder="1" applyAlignment="1">
      <alignment horizontal="center" vertical="center" wrapText="1"/>
    </xf>
    <xf numFmtId="0" fontId="23" fillId="16" borderId="18" xfId="0" applyFont="1" applyFill="1" applyBorder="1" applyAlignment="1">
      <alignment horizontal="center" vertical="center" wrapText="1" readingOrder="1"/>
    </xf>
    <xf numFmtId="0" fontId="21" fillId="17" borderId="15" xfId="0" applyFont="1" applyFill="1" applyBorder="1" applyAlignment="1">
      <alignment horizontal="center" vertical="center" wrapText="1" readingOrder="1"/>
    </xf>
    <xf numFmtId="0" fontId="22" fillId="17" borderId="16" xfId="0" applyFont="1" applyFill="1" applyBorder="1" applyAlignment="1">
      <alignment horizontal="center" vertical="center" wrapText="1"/>
    </xf>
    <xf numFmtId="0" fontId="22" fillId="17" borderId="17" xfId="0" applyFont="1" applyFill="1" applyBorder="1" applyAlignment="1">
      <alignment horizontal="center" vertical="center" wrapText="1"/>
    </xf>
    <xf numFmtId="0" fontId="23" fillId="17" borderId="18" xfId="0" applyFont="1" applyFill="1" applyBorder="1" applyAlignment="1">
      <alignment horizontal="center" vertical="center" wrapText="1" readingOrder="1"/>
    </xf>
    <xf numFmtId="0" fontId="21" fillId="18" borderId="15" xfId="0" applyFont="1" applyFill="1" applyBorder="1" applyAlignment="1">
      <alignment horizontal="center" vertical="center" wrapText="1" readingOrder="1"/>
    </xf>
    <xf numFmtId="0" fontId="22" fillId="18" borderId="16" xfId="0" applyFont="1" applyFill="1" applyBorder="1" applyAlignment="1">
      <alignment horizontal="center" vertical="center" wrapText="1"/>
    </xf>
    <xf numFmtId="0" fontId="22" fillId="18" borderId="17" xfId="0" applyFont="1" applyFill="1" applyBorder="1" applyAlignment="1">
      <alignment horizontal="center" vertical="center" wrapText="1"/>
    </xf>
    <xf numFmtId="0" fontId="23" fillId="18" borderId="18" xfId="0" applyFont="1" applyFill="1" applyBorder="1" applyAlignment="1">
      <alignment horizontal="center" vertical="center" wrapText="1" readingOrder="1"/>
    </xf>
    <xf numFmtId="0" fontId="21" fillId="21" borderId="15" xfId="0" applyFont="1" applyFill="1" applyBorder="1" applyAlignment="1">
      <alignment horizontal="center" vertical="center" wrapText="1" readingOrder="1"/>
    </xf>
    <xf numFmtId="0" fontId="22" fillId="21" borderId="16" xfId="0" applyFont="1" applyFill="1" applyBorder="1" applyAlignment="1">
      <alignment horizontal="center" vertical="center" wrapText="1"/>
    </xf>
    <xf numFmtId="0" fontId="32" fillId="6" borderId="18" xfId="0" applyFont="1" applyFill="1" applyBorder="1" applyAlignment="1">
      <alignment horizontal="center" vertical="center" wrapText="1"/>
    </xf>
    <xf numFmtId="0" fontId="27" fillId="26" borderId="10" xfId="0" applyFont="1" applyFill="1" applyBorder="1" applyAlignment="1">
      <alignment horizontal="center" vertical="center"/>
    </xf>
    <xf numFmtId="0" fontId="27" fillId="26" borderId="0" xfId="0" applyFont="1" applyFill="1" applyBorder="1" applyAlignment="1">
      <alignment horizontal="center" vertical="center"/>
    </xf>
    <xf numFmtId="0" fontId="27" fillId="27" borderId="0" xfId="0" applyFont="1" applyFill="1" applyBorder="1" applyAlignment="1">
      <alignment horizontal="center" vertical="center"/>
    </xf>
    <xf numFmtId="0" fontId="27" fillId="27" borderId="11" xfId="0" applyFont="1" applyFill="1" applyBorder="1" applyAlignment="1">
      <alignment horizontal="center" vertical="center"/>
    </xf>
    <xf numFmtId="0" fontId="28" fillId="26" borderId="10" xfId="0" applyFont="1" applyFill="1" applyBorder="1" applyAlignment="1">
      <alignment horizontal="center" vertical="center"/>
    </xf>
    <xf numFmtId="0" fontId="28" fillId="26" borderId="0" xfId="0" applyFont="1" applyFill="1" applyBorder="1" applyAlignment="1">
      <alignment horizontal="center" vertical="center"/>
    </xf>
    <xf numFmtId="0" fontId="28" fillId="27" borderId="0" xfId="0" applyFont="1" applyFill="1" applyBorder="1" applyAlignment="1">
      <alignment horizontal="center" vertical="center"/>
    </xf>
    <xf numFmtId="0" fontId="28" fillId="26" borderId="12" xfId="0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0" fontId="27" fillId="26" borderId="1" xfId="0" applyFont="1" applyFill="1" applyBorder="1" applyAlignment="1">
      <alignment horizontal="center" vertical="center"/>
    </xf>
    <xf numFmtId="0" fontId="28" fillId="26" borderId="1" xfId="0" applyFont="1" applyFill="1" applyBorder="1" applyAlignment="1">
      <alignment horizontal="center" vertical="center"/>
    </xf>
    <xf numFmtId="0" fontId="28" fillId="27" borderId="1" xfId="0" applyFont="1" applyFill="1" applyBorder="1" applyAlignment="1">
      <alignment horizontal="center" vertical="center"/>
    </xf>
    <xf numFmtId="0" fontId="27" fillId="27" borderId="13" xfId="0" applyFont="1" applyFill="1" applyBorder="1" applyAlignment="1">
      <alignment horizontal="center" vertical="center"/>
    </xf>
    <xf numFmtId="0" fontId="34" fillId="6" borderId="7" xfId="0" applyFont="1" applyFill="1" applyBorder="1" applyAlignment="1">
      <alignment horizontal="left" vertical="top"/>
    </xf>
    <xf numFmtId="0" fontId="20" fillId="6" borderId="8" xfId="0" applyFont="1" applyFill="1" applyBorder="1" applyAlignment="1">
      <alignment vertical="center"/>
    </xf>
    <xf numFmtId="0" fontId="20" fillId="6" borderId="9" xfId="0" applyFont="1" applyFill="1" applyBorder="1" applyAlignment="1">
      <alignment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6" fillId="5" borderId="11" xfId="0" applyFont="1" applyFill="1" applyBorder="1" applyAlignment="1">
      <alignment vertical="center"/>
    </xf>
    <xf numFmtId="0" fontId="36" fillId="5" borderId="13" xfId="0" applyFont="1" applyFill="1" applyBorder="1" applyAlignment="1">
      <alignment vertical="center"/>
    </xf>
    <xf numFmtId="0" fontId="3" fillId="0" borderId="42" xfId="0" applyFont="1" applyBorder="1"/>
    <xf numFmtId="0" fontId="3" fillId="32" borderId="12" xfId="0" applyFont="1" applyFill="1" applyBorder="1" applyAlignment="1">
      <alignment horizontal="center" vertical="center"/>
    </xf>
    <xf numFmtId="0" fontId="3" fillId="32" borderId="1" xfId="0" applyFont="1" applyFill="1" applyBorder="1" applyAlignment="1">
      <alignment horizontal="center" vertical="center"/>
    </xf>
    <xf numFmtId="0" fontId="38" fillId="6" borderId="43" xfId="0" applyFont="1" applyFill="1" applyBorder="1" applyAlignment="1">
      <alignment vertical="center"/>
    </xf>
    <xf numFmtId="0" fontId="18" fillId="32" borderId="12" xfId="0" applyFont="1" applyFill="1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3" fillId="32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4" fillId="4" borderId="13" xfId="0" applyFont="1" applyFill="1" applyBorder="1" applyAlignment="1">
      <alignment horizontal="center" vertical="center"/>
    </xf>
    <xf numFmtId="0" fontId="17" fillId="6" borderId="18" xfId="0" applyFont="1" applyFill="1" applyBorder="1" applyAlignment="1">
      <alignment horizontal="center" vertical="center" wrapText="1" readingOrder="1"/>
    </xf>
    <xf numFmtId="0" fontId="19" fillId="6" borderId="18" xfId="0" applyFont="1" applyFill="1" applyBorder="1" applyAlignment="1">
      <alignment horizontal="center" vertical="center" wrapText="1" readingOrder="1"/>
    </xf>
    <xf numFmtId="164" fontId="17" fillId="6" borderId="17" xfId="0" applyNumberFormat="1" applyFont="1" applyFill="1" applyBorder="1" applyAlignment="1">
      <alignment horizontal="center" vertical="center" wrapText="1"/>
    </xf>
    <xf numFmtId="14" fontId="36" fillId="6" borderId="1" xfId="0" applyNumberFormat="1" applyFont="1" applyFill="1" applyBorder="1" applyAlignment="1">
      <alignment horizontal="center" vertical="center"/>
    </xf>
    <xf numFmtId="11" fontId="41" fillId="6" borderId="0" xfId="0" applyNumberFormat="1" applyFont="1" applyFill="1" applyBorder="1" applyAlignment="1">
      <alignment horizontal="center" vertical="center"/>
    </xf>
    <xf numFmtId="11" fontId="41" fillId="5" borderId="0" xfId="0" applyNumberFormat="1" applyFont="1" applyFill="1" applyBorder="1" applyAlignment="1">
      <alignment horizontal="center" vertical="center"/>
    </xf>
    <xf numFmtId="11" fontId="41" fillId="6" borderId="1" xfId="0" applyNumberFormat="1" applyFont="1" applyFill="1" applyBorder="1" applyAlignment="1">
      <alignment horizontal="center" vertical="center"/>
    </xf>
    <xf numFmtId="11" fontId="41" fillId="5" borderId="1" xfId="0" applyNumberFormat="1" applyFont="1" applyFill="1" applyBorder="1" applyAlignment="1">
      <alignment horizontal="center" vertical="center"/>
    </xf>
    <xf numFmtId="0" fontId="41" fillId="6" borderId="0" xfId="0" applyFont="1" applyFill="1" applyBorder="1" applyAlignment="1">
      <alignment horizontal="center" vertical="center"/>
    </xf>
    <xf numFmtId="0" fontId="41" fillId="5" borderId="0" xfId="0" applyFont="1" applyFill="1" applyBorder="1" applyAlignment="1">
      <alignment horizontal="center" vertical="center"/>
    </xf>
    <xf numFmtId="0" fontId="41" fillId="6" borderId="1" xfId="0" applyFont="1" applyFill="1" applyBorder="1" applyAlignment="1">
      <alignment horizontal="center" vertical="center"/>
    </xf>
    <xf numFmtId="0" fontId="41" fillId="5" borderId="1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1" xfId="0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7" fontId="6" fillId="2" borderId="13" xfId="0" applyNumberFormat="1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 wrapText="1"/>
    </xf>
    <xf numFmtId="0" fontId="36" fillId="5" borderId="0" xfId="0" applyFont="1" applyFill="1" applyBorder="1" applyAlignment="1">
      <alignment horizontal="center" vertical="center"/>
    </xf>
    <xf numFmtId="0" fontId="36" fillId="5" borderId="12" xfId="0" applyFont="1" applyFill="1" applyBorder="1" applyAlignment="1">
      <alignment horizontal="center" vertical="center"/>
    </xf>
    <xf numFmtId="0" fontId="36" fillId="5" borderId="1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8" xfId="0" applyFont="1" applyFill="1" applyBorder="1" applyAlignment="1">
      <alignment horizontal="center" vertical="center"/>
    </xf>
    <xf numFmtId="165" fontId="7" fillId="5" borderId="1" xfId="0" applyNumberFormat="1" applyFont="1" applyFill="1" applyBorder="1" applyAlignment="1">
      <alignment horizontal="center" vertical="center"/>
    </xf>
    <xf numFmtId="165" fontId="7" fillId="5" borderId="13" xfId="0" applyNumberFormat="1" applyFont="1" applyFill="1" applyBorder="1" applyAlignment="1">
      <alignment horizontal="center" vertical="center"/>
    </xf>
    <xf numFmtId="10" fontId="7" fillId="5" borderId="0" xfId="0" applyNumberFormat="1" applyFont="1" applyFill="1" applyAlignment="1">
      <alignment horizontal="center" vertical="center"/>
    </xf>
    <xf numFmtId="10" fontId="7" fillId="5" borderId="11" xfId="0" applyNumberFormat="1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18" fillId="32" borderId="12" xfId="0" applyFont="1" applyFill="1" applyBorder="1" applyAlignment="1">
      <alignment horizontal="center" vertical="center"/>
    </xf>
    <xf numFmtId="0" fontId="18" fillId="32" borderId="1" xfId="0" applyFont="1" applyFill="1" applyBorder="1" applyAlignment="1">
      <alignment horizontal="center" vertical="center"/>
    </xf>
    <xf numFmtId="0" fontId="40" fillId="6" borderId="1" xfId="0" applyFont="1" applyFill="1" applyBorder="1" applyAlignment="1">
      <alignment horizontal="center" vertical="center"/>
    </xf>
    <xf numFmtId="0" fontId="40" fillId="6" borderId="13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10" fillId="2" borderId="3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 vertical="center"/>
    </xf>
    <xf numFmtId="0" fontId="42" fillId="12" borderId="7" xfId="0" applyFont="1" applyFill="1" applyBorder="1" applyAlignment="1">
      <alignment horizontal="center" vertical="center" wrapText="1"/>
    </xf>
    <xf numFmtId="0" fontId="42" fillId="12" borderId="8" xfId="0" applyFont="1" applyFill="1" applyBorder="1" applyAlignment="1">
      <alignment horizontal="center" vertical="center" wrapText="1"/>
    </xf>
    <xf numFmtId="0" fontId="42" fillId="12" borderId="9" xfId="0" applyFont="1" applyFill="1" applyBorder="1" applyAlignment="1">
      <alignment horizontal="center" vertical="center" wrapText="1"/>
    </xf>
    <xf numFmtId="0" fontId="42" fillId="12" borderId="10" xfId="0" applyFont="1" applyFill="1" applyBorder="1" applyAlignment="1">
      <alignment horizontal="center" vertical="center" wrapText="1"/>
    </xf>
    <xf numFmtId="0" fontId="42" fillId="12" borderId="0" xfId="0" applyFont="1" applyFill="1" applyBorder="1" applyAlignment="1">
      <alignment horizontal="center" vertical="center" wrapText="1"/>
    </xf>
    <xf numFmtId="0" fontId="42" fillId="12" borderId="11" xfId="0" applyFont="1" applyFill="1" applyBorder="1" applyAlignment="1">
      <alignment horizontal="center" vertical="center" wrapText="1"/>
    </xf>
    <xf numFmtId="0" fontId="12" fillId="5" borderId="14" xfId="0" applyFont="1" applyFill="1" applyBorder="1" applyAlignment="1">
      <alignment horizontal="center" vertical="center"/>
    </xf>
    <xf numFmtId="0" fontId="33" fillId="29" borderId="7" xfId="0" applyFont="1" applyFill="1" applyBorder="1" applyAlignment="1">
      <alignment horizontal="center" vertical="center"/>
    </xf>
    <xf numFmtId="0" fontId="33" fillId="29" borderId="8" xfId="0" applyFont="1" applyFill="1" applyBorder="1" applyAlignment="1">
      <alignment horizontal="center" vertical="center"/>
    </xf>
    <xf numFmtId="0" fontId="33" fillId="29" borderId="9" xfId="0" applyFont="1" applyFill="1" applyBorder="1" applyAlignment="1">
      <alignment horizontal="center" vertical="center"/>
    </xf>
    <xf numFmtId="0" fontId="33" fillId="29" borderId="10" xfId="0" applyFont="1" applyFill="1" applyBorder="1" applyAlignment="1">
      <alignment horizontal="center" vertical="center"/>
    </xf>
    <xf numFmtId="0" fontId="33" fillId="29" borderId="0" xfId="0" applyFont="1" applyFill="1" applyBorder="1" applyAlignment="1">
      <alignment horizontal="center" vertical="center"/>
    </xf>
    <xf numFmtId="0" fontId="33" fillId="29" borderId="11" xfId="0" applyFont="1" applyFill="1" applyBorder="1" applyAlignment="1">
      <alignment horizontal="center" vertical="center"/>
    </xf>
    <xf numFmtId="0" fontId="33" fillId="29" borderId="12" xfId="0" applyFont="1" applyFill="1" applyBorder="1" applyAlignment="1">
      <alignment horizontal="center" vertical="center"/>
    </xf>
    <xf numFmtId="0" fontId="33" fillId="29" borderId="1" xfId="0" applyFont="1" applyFill="1" applyBorder="1" applyAlignment="1">
      <alignment horizontal="center" vertical="center"/>
    </xf>
    <xf numFmtId="0" fontId="33" fillId="29" borderId="13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3" fillId="31" borderId="10" xfId="0" applyFont="1" applyFill="1" applyBorder="1" applyAlignment="1">
      <alignment horizontal="center" vertical="center"/>
    </xf>
    <xf numFmtId="0" fontId="43" fillId="31" borderId="0" xfId="0" applyFont="1" applyFill="1" applyBorder="1" applyAlignment="1">
      <alignment horizontal="center" vertical="center"/>
    </xf>
    <xf numFmtId="164" fontId="43" fillId="31" borderId="0" xfId="0" applyNumberFormat="1" applyFont="1" applyFill="1" applyBorder="1" applyAlignment="1">
      <alignment horizontal="center" vertical="center"/>
    </xf>
    <xf numFmtId="164" fontId="43" fillId="31" borderId="11" xfId="0" applyNumberFormat="1" applyFont="1" applyFill="1" applyBorder="1" applyAlignment="1">
      <alignment horizontal="center" vertical="center"/>
    </xf>
    <xf numFmtId="0" fontId="35" fillId="6" borderId="10" xfId="0" applyFont="1" applyFill="1" applyBorder="1" applyAlignment="1">
      <alignment horizontal="center" vertical="center"/>
    </xf>
    <xf numFmtId="0" fontId="35" fillId="6" borderId="0" xfId="0" applyFont="1" applyFill="1" applyBorder="1" applyAlignment="1">
      <alignment horizontal="center" vertical="center"/>
    </xf>
    <xf numFmtId="0" fontId="35" fillId="6" borderId="11" xfId="0" applyFont="1" applyFill="1" applyBorder="1" applyAlignment="1">
      <alignment horizontal="center" vertical="center"/>
    </xf>
    <xf numFmtId="0" fontId="35" fillId="6" borderId="12" xfId="0" applyFont="1" applyFill="1" applyBorder="1" applyAlignment="1">
      <alignment horizontal="center" vertical="center"/>
    </xf>
    <xf numFmtId="0" fontId="35" fillId="6" borderId="1" xfId="0" applyFont="1" applyFill="1" applyBorder="1" applyAlignment="1">
      <alignment horizontal="center" vertical="center"/>
    </xf>
    <xf numFmtId="0" fontId="35" fillId="6" borderId="13" xfId="0" applyFont="1" applyFill="1" applyBorder="1" applyAlignment="1">
      <alignment horizontal="center" vertical="center"/>
    </xf>
    <xf numFmtId="0" fontId="12" fillId="5" borderId="19" xfId="0" applyFont="1" applyFill="1" applyBorder="1" applyAlignment="1">
      <alignment horizontal="center" vertical="center"/>
    </xf>
    <xf numFmtId="0" fontId="4" fillId="5" borderId="23" xfId="0" applyFont="1" applyFill="1" applyBorder="1" applyAlignment="1">
      <alignment horizontal="center" vertical="center"/>
    </xf>
    <xf numFmtId="164" fontId="44" fillId="31" borderId="1" xfId="0" applyNumberFormat="1" applyFont="1" applyFill="1" applyBorder="1" applyAlignment="1">
      <alignment horizontal="center" vertical="center"/>
    </xf>
    <xf numFmtId="164" fontId="44" fillId="31" borderId="13" xfId="0" applyNumberFormat="1" applyFont="1" applyFill="1" applyBorder="1" applyAlignment="1">
      <alignment horizontal="center" vertical="center"/>
    </xf>
    <xf numFmtId="0" fontId="44" fillId="31" borderId="10" xfId="0" applyFont="1" applyFill="1" applyBorder="1" applyAlignment="1">
      <alignment horizontal="center" vertical="center"/>
    </xf>
    <xf numFmtId="0" fontId="44" fillId="31" borderId="0" xfId="0" applyFont="1" applyFill="1" applyBorder="1" applyAlignment="1">
      <alignment horizontal="center" vertical="center"/>
    </xf>
    <xf numFmtId="164" fontId="44" fillId="31" borderId="0" xfId="0" applyNumberFormat="1" applyFont="1" applyFill="1" applyBorder="1" applyAlignment="1">
      <alignment horizontal="center" vertical="center"/>
    </xf>
    <xf numFmtId="164" fontId="44" fillId="31" borderId="11" xfId="0" applyNumberFormat="1" applyFont="1" applyFill="1" applyBorder="1" applyAlignment="1">
      <alignment horizontal="center" vertical="center"/>
    </xf>
    <xf numFmtId="0" fontId="44" fillId="31" borderId="12" xfId="0" applyFont="1" applyFill="1" applyBorder="1" applyAlignment="1">
      <alignment horizontal="center" vertical="center"/>
    </xf>
    <xf numFmtId="0" fontId="44" fillId="31" borderId="1" xfId="0" applyFont="1" applyFill="1" applyBorder="1" applyAlignment="1">
      <alignment horizontal="center" vertical="center"/>
    </xf>
    <xf numFmtId="0" fontId="12" fillId="5" borderId="39" xfId="0" applyFont="1" applyFill="1" applyBorder="1" applyAlignment="1">
      <alignment horizontal="center" vertical="center"/>
    </xf>
    <xf numFmtId="0" fontId="12" fillId="5" borderId="40" xfId="0" applyFont="1" applyFill="1" applyBorder="1" applyAlignment="1">
      <alignment horizontal="center" vertical="center"/>
    </xf>
    <xf numFmtId="0" fontId="12" fillId="5" borderId="41" xfId="0" applyFont="1" applyFill="1" applyBorder="1" applyAlignment="1">
      <alignment horizontal="center" vertical="center"/>
    </xf>
    <xf numFmtId="0" fontId="20" fillId="3" borderId="0" xfId="0" applyFont="1" applyFill="1" applyAlignment="1">
      <alignment horizontal="center" vertical="center"/>
    </xf>
    <xf numFmtId="0" fontId="37" fillId="5" borderId="39" xfId="0" applyFont="1" applyFill="1" applyBorder="1" applyAlignment="1">
      <alignment horizontal="center" vertical="center"/>
    </xf>
    <xf numFmtId="0" fontId="37" fillId="5" borderId="40" xfId="0" applyFont="1" applyFill="1" applyBorder="1" applyAlignment="1">
      <alignment horizontal="center" vertical="center"/>
    </xf>
    <xf numFmtId="14" fontId="12" fillId="5" borderId="40" xfId="0" applyNumberFormat="1" applyFont="1" applyFill="1" applyBorder="1" applyAlignment="1">
      <alignment horizontal="center" vertical="center"/>
    </xf>
    <xf numFmtId="14" fontId="12" fillId="5" borderId="41" xfId="0" applyNumberFormat="1" applyFont="1" applyFill="1" applyBorder="1" applyAlignment="1">
      <alignment horizontal="center" vertical="center"/>
    </xf>
    <xf numFmtId="0" fontId="26" fillId="28" borderId="7" xfId="0" applyFont="1" applyFill="1" applyBorder="1" applyAlignment="1">
      <alignment horizontal="center" vertical="center"/>
    </xf>
    <xf numFmtId="0" fontId="26" fillId="28" borderId="8" xfId="0" applyFont="1" applyFill="1" applyBorder="1" applyAlignment="1">
      <alignment horizontal="center" vertical="center"/>
    </xf>
    <xf numFmtId="0" fontId="26" fillId="28" borderId="9" xfId="0" applyFont="1" applyFill="1" applyBorder="1" applyAlignment="1">
      <alignment horizontal="center" vertical="center"/>
    </xf>
    <xf numFmtId="0" fontId="26" fillId="24" borderId="10" xfId="0" applyFont="1" applyFill="1" applyBorder="1" applyAlignment="1">
      <alignment horizontal="center" vertical="center"/>
    </xf>
    <xf numFmtId="0" fontId="26" fillId="24" borderId="0" xfId="0" applyFont="1" applyFill="1" applyBorder="1" applyAlignment="1">
      <alignment horizontal="center" vertical="center"/>
    </xf>
    <xf numFmtId="0" fontId="26" fillId="25" borderId="0" xfId="0" applyFont="1" applyFill="1" applyBorder="1" applyAlignment="1">
      <alignment horizontal="center" vertical="center"/>
    </xf>
    <xf numFmtId="0" fontId="26" fillId="25" borderId="11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0" fillId="3" borderId="9" xfId="0" applyFont="1" applyFill="1" applyBorder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11" xfId="0" applyFont="1" applyFill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</cellXfs>
  <cellStyles count="1">
    <cellStyle name="Normal" xfId="0" builtinId="0"/>
  </cellStyles>
  <dxfs count="167"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DIN Next LT Pro"/>
        <family val="2"/>
        <scheme val="none"/>
      </font>
      <alignment horizontal="center" vertical="center" textRotation="0" indent="0" justifyLastLine="0" shrinkToFit="0" readingOrder="0"/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rgb="FFC9D3BE"/>
        </patternFill>
      </fill>
    </dxf>
    <dxf>
      <fill>
        <patternFill>
          <bgColor theme="5"/>
        </patternFill>
      </fill>
    </dxf>
    <dxf>
      <fill>
        <patternFill>
          <bgColor rgb="FFF3A447"/>
        </patternFill>
      </fill>
    </dxf>
    <dxf>
      <fill>
        <patternFill>
          <bgColor theme="5"/>
        </patternFill>
      </fill>
    </dxf>
    <dxf>
      <fill>
        <patternFill>
          <bgColor rgb="FFF8C891"/>
        </patternFill>
      </fill>
    </dxf>
    <dxf>
      <fill>
        <patternFill>
          <bgColor theme="5"/>
        </patternFill>
      </fill>
    </dxf>
    <dxf>
      <fill>
        <patternFill>
          <bgColor rgb="FFFADBB5"/>
        </patternFill>
      </fill>
    </dxf>
    <dxf>
      <fill>
        <patternFill>
          <bgColor theme="5"/>
        </patternFill>
      </fill>
    </dxf>
    <dxf>
      <fill>
        <patternFill>
          <bgColor rgb="FFFDEDDA"/>
        </patternFill>
      </fill>
    </dxf>
    <dxf>
      <fill>
        <patternFill>
          <bgColor theme="5"/>
        </patternFill>
      </fill>
    </dxf>
    <dxf>
      <fill>
        <patternFill>
          <bgColor rgb="FFE7BC29"/>
        </patternFill>
      </fill>
    </dxf>
    <dxf>
      <fill>
        <patternFill>
          <bgColor theme="5"/>
        </patternFill>
      </fill>
    </dxf>
    <dxf>
      <fill>
        <patternFill>
          <bgColor rgb="FFF1D77F"/>
        </patternFill>
      </fill>
    </dxf>
    <dxf>
      <fill>
        <patternFill>
          <bgColor theme="5"/>
        </patternFill>
      </fill>
    </dxf>
    <dxf>
      <fill>
        <patternFill>
          <bgColor rgb="FFF5E4A9"/>
        </patternFill>
      </fill>
    </dxf>
    <dxf>
      <fill>
        <patternFill>
          <bgColor theme="5"/>
        </patternFill>
      </fill>
    </dxf>
    <dxf>
      <fill>
        <patternFill>
          <bgColor rgb="FFFAF2D4"/>
        </patternFill>
      </fill>
    </dxf>
    <dxf>
      <fill>
        <patternFill>
          <bgColor theme="5"/>
        </patternFill>
      </fill>
    </dxf>
    <dxf>
      <fill>
        <patternFill>
          <bgColor rgb="FFD092A7"/>
        </patternFill>
      </fill>
    </dxf>
    <dxf>
      <fill>
        <patternFill>
          <bgColor theme="5"/>
        </patternFill>
      </fill>
    </dxf>
    <dxf>
      <fill>
        <patternFill>
          <bgColor rgb="FFE3BECA"/>
        </patternFill>
      </fill>
    </dxf>
    <dxf>
      <fill>
        <patternFill>
          <bgColor theme="5"/>
        </patternFill>
      </fill>
    </dxf>
    <dxf>
      <fill>
        <patternFill>
          <bgColor rgb="FFECD3DC"/>
        </patternFill>
      </fill>
    </dxf>
    <dxf>
      <fill>
        <patternFill>
          <bgColor theme="5"/>
        </patternFill>
      </fill>
    </dxf>
    <dxf>
      <fill>
        <patternFill>
          <bgColor rgb="FFF6E9ED"/>
        </patternFill>
      </fill>
    </dxf>
    <dxf>
      <fill>
        <patternFill>
          <bgColor theme="5"/>
        </patternFill>
      </fill>
    </dxf>
    <dxf>
      <fill>
        <patternFill>
          <bgColor rgb="FF9C85C0"/>
        </patternFill>
      </fill>
    </dxf>
    <dxf>
      <fill>
        <patternFill>
          <bgColor theme="5"/>
        </patternFill>
      </fill>
    </dxf>
    <dxf>
      <fill>
        <patternFill>
          <bgColor rgb="FFC4B6D9"/>
        </patternFill>
      </fill>
    </dxf>
    <dxf>
      <fill>
        <patternFill>
          <bgColor theme="5"/>
        </patternFill>
      </fill>
    </dxf>
    <dxf>
      <fill>
        <patternFill>
          <bgColor rgb="FFD7CEE6"/>
        </patternFill>
      </fill>
    </dxf>
    <dxf>
      <fill>
        <patternFill>
          <bgColor theme="5"/>
        </patternFill>
      </fill>
    </dxf>
    <dxf>
      <fill>
        <patternFill>
          <bgColor rgb="FFEBE7F2"/>
        </patternFill>
      </fill>
    </dxf>
    <dxf>
      <fill>
        <patternFill>
          <bgColor theme="5"/>
        </patternFill>
      </fill>
    </dxf>
    <dxf>
      <fill>
        <patternFill>
          <bgColor rgb="FF809EC2"/>
        </patternFill>
      </fill>
    </dxf>
    <dxf>
      <fill>
        <patternFill>
          <bgColor theme="5"/>
        </patternFill>
      </fill>
    </dxf>
    <dxf>
      <fill>
        <patternFill>
          <bgColor rgb="FFB3C5DA"/>
        </patternFill>
      </fill>
    </dxf>
    <dxf>
      <fill>
        <patternFill>
          <bgColor theme="5"/>
        </patternFill>
      </fill>
    </dxf>
    <dxf>
      <fill>
        <patternFill>
          <bgColor rgb="FFCCD8E7"/>
        </patternFill>
      </fill>
    </dxf>
    <dxf>
      <fill>
        <patternFill>
          <bgColor rgb="FFF8C891"/>
        </patternFill>
      </fill>
    </dxf>
    <dxf>
      <fill>
        <patternFill>
          <bgColor rgb="FFFADBB5"/>
        </patternFill>
      </fill>
    </dxf>
    <dxf>
      <fill>
        <patternFill>
          <bgColor rgb="FFFDEDDA"/>
        </patternFill>
      </fill>
    </dxf>
    <dxf>
      <fill>
        <patternFill>
          <bgColor rgb="FFE7BC29"/>
        </patternFill>
      </fill>
    </dxf>
    <dxf>
      <fill>
        <patternFill>
          <bgColor rgb="FFF1D77F"/>
        </patternFill>
      </fill>
    </dxf>
    <dxf>
      <fill>
        <patternFill>
          <bgColor rgb="FFF5E4A9"/>
        </patternFill>
      </fill>
    </dxf>
    <dxf>
      <fill>
        <patternFill>
          <bgColor rgb="FFFAF2D4"/>
        </patternFill>
      </fill>
    </dxf>
    <dxf>
      <fill>
        <patternFill>
          <bgColor rgb="FFD092A7"/>
        </patternFill>
      </fill>
    </dxf>
    <dxf>
      <fill>
        <patternFill>
          <bgColor rgb="FFE3BECA"/>
        </patternFill>
      </fill>
    </dxf>
    <dxf>
      <fill>
        <patternFill>
          <bgColor rgb="FFECD3DC"/>
        </patternFill>
      </fill>
    </dxf>
    <dxf>
      <fill>
        <patternFill>
          <bgColor rgb="FFF6E9ED"/>
        </patternFill>
      </fill>
    </dxf>
    <dxf>
      <fill>
        <patternFill>
          <bgColor rgb="FF9C85C0"/>
        </patternFill>
      </fill>
    </dxf>
    <dxf>
      <fill>
        <patternFill>
          <bgColor rgb="FFC4B6D9"/>
        </patternFill>
      </fill>
    </dxf>
    <dxf>
      <fill>
        <patternFill>
          <bgColor rgb="FFD7CEE6"/>
        </patternFill>
      </fill>
    </dxf>
    <dxf>
      <fill>
        <patternFill>
          <bgColor rgb="FFEBE7F2"/>
        </patternFill>
      </fill>
    </dxf>
    <dxf>
      <fill>
        <patternFill>
          <bgColor rgb="FF809EC2"/>
        </patternFill>
      </fill>
    </dxf>
    <dxf>
      <fill>
        <patternFill>
          <bgColor rgb="FFB3C5DA"/>
        </patternFill>
      </fill>
    </dxf>
    <dxf>
      <fill>
        <patternFill>
          <bgColor rgb="FFCCD8E7"/>
        </patternFill>
      </fill>
    </dxf>
    <dxf>
      <fill>
        <patternFill>
          <bgColor rgb="FFE6ECF3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colors>
    <mruColors>
      <color rgb="FFC9D3BE"/>
      <color rgb="FF888B8D"/>
      <color rgb="FFF3A447"/>
      <color rgb="FFF8C891"/>
      <color rgb="FFFADBB5"/>
      <color rgb="FFFDEDDA"/>
      <color rgb="FFE7BC29"/>
      <color rgb="FFF1D77F"/>
      <color rgb="FFF5E4A9"/>
      <color rgb="FFFAF2D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hyperlink" Target="https://luciedna-split-and-pool-protocol-generator-b-b-sap-main-rgch6j.streamlitapp.com/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1809749</xdr:colOff>
      <xdr:row>9</xdr:row>
      <xdr:rowOff>55562</xdr:rowOff>
    </xdr:from>
    <xdr:to>
      <xdr:col>2</xdr:col>
      <xdr:colOff>2238374</xdr:colOff>
      <xdr:row>10</xdr:row>
      <xdr:rowOff>230187</xdr:rowOff>
    </xdr:to>
    <xdr:pic macro="[0]!bouton_imprime">
      <xdr:nvPicPr>
        <xdr:cNvPr id="3" name="Graphique 2" descr="Imprimante avec un remplissage uni">
          <a:extLst>
            <a:ext uri="{FF2B5EF4-FFF2-40B4-BE49-F238E27FC236}">
              <a16:creationId xmlns:a16="http://schemas.microsoft.com/office/drawing/2014/main" id="{DFE3DDE6-6CB3-4D00-8804-4166D4EAF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3524249" y="1920875"/>
          <a:ext cx="428625" cy="4286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7936</xdr:colOff>
          <xdr:row>19</xdr:row>
          <xdr:rowOff>-1</xdr:rowOff>
        </xdr:from>
        <xdr:to>
          <xdr:col>11</xdr:col>
          <xdr:colOff>15874</xdr:colOff>
          <xdr:row>30</xdr:row>
          <xdr:rowOff>24128</xdr:rowOff>
        </xdr:to>
        <xdr:pic>
          <xdr:nvPicPr>
            <xdr:cNvPr id="7" name="Image 6">
              <a:extLst>
                <a:ext uri="{FF2B5EF4-FFF2-40B4-BE49-F238E27FC236}">
                  <a16:creationId xmlns:a16="http://schemas.microsoft.com/office/drawing/2014/main" id="{CFD3D8F1-E57E-493B-850F-40CA64C2D6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OT2 Deck'!$AH$11:$AV$26" spid="_x0000_s120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8588374" y="3405187"/>
              <a:ext cx="4635500" cy="222281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4</xdr:col>
      <xdr:colOff>293685</xdr:colOff>
      <xdr:row>9</xdr:row>
      <xdr:rowOff>82022</xdr:rowOff>
    </xdr:from>
    <xdr:to>
      <xdr:col>4</xdr:col>
      <xdr:colOff>663997</xdr:colOff>
      <xdr:row>10</xdr:row>
      <xdr:rowOff>191383</xdr:rowOff>
    </xdr:to>
    <xdr:pic macro="[0]!Image8_Cliquer">
      <xdr:nvPicPr>
        <xdr:cNvPr id="9" name="Imag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826752-F6B2-4CB7-BB10-2B6E785F40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24685" y="1947335"/>
          <a:ext cx="370312" cy="3633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914400</xdr:colOff>
      <xdr:row>10</xdr:row>
      <xdr:rowOff>38100</xdr:rowOff>
    </xdr:from>
    <xdr:to>
      <xdr:col>9</xdr:col>
      <xdr:colOff>1181100</xdr:colOff>
      <xdr:row>10</xdr:row>
      <xdr:rowOff>285750</xdr:rowOff>
    </xdr:to>
    <xdr:pic macro="[1]!changer_nom">
      <xdr:nvPicPr>
        <xdr:cNvPr id="5" name="Image 4" descr="Microsoft Excel — Wikipédia">
          <a:extLst>
            <a:ext uri="{FF2B5EF4-FFF2-40B4-BE49-F238E27FC236}">
              <a16:creationId xmlns:a16="http://schemas.microsoft.com/office/drawing/2014/main" id="{CA2BDE29-1FF2-4A11-AA7E-458BA7D733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69650" y="2165350"/>
          <a:ext cx="266700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20819_9_mers_barcodes_excelControler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er"/>
      <sheetName val="OT2 Deck"/>
      <sheetName val="PSP"/>
      <sheetName val="References"/>
      <sheetName val="220819_9_mers_barcodes_excelCon"/>
    </sheetNames>
    <definedNames>
      <definedName name="changer_nom"/>
    </definedNames>
    <sheetDataSet>
      <sheetData sheetId="0"/>
      <sheetData sheetId="1"/>
      <sheetData sheetId="2"/>
      <sheetData sheetId="3">
        <row r="27">
          <cell r="C27">
            <v>1.0277777777777778E-2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65311B2-BFFA-4A83-A0E0-AE68EC9D950D}" name="Tableau1" displayName="Tableau1" ref="B7:B8" totalsRowShown="0" headerRowDxfId="20" dataDxfId="19">
  <autoFilter ref="B7:B8" xr:uid="{065311B2-BFFA-4A83-A0E0-AE68EC9D950D}"/>
  <tableColumns count="1">
    <tableColumn id="1" xr3:uid="{2AAF6FDD-18F3-43FC-9616-E8AAE4BC97EE}" name="Name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576211-D4D3-439B-AEEB-2E383E739E7A}" name="Tableau5" displayName="Tableau5" ref="D7:D10" totalsRowShown="0" headerRowDxfId="17" dataDxfId="16">
  <autoFilter ref="D7:D10" xr:uid="{06576211-D4D3-439B-AEEB-2E383E739E7A}"/>
  <tableColumns count="1">
    <tableColumn id="1" xr3:uid="{196F4F17-F17B-4FC0-BB5F-B1B81561EF46}" name="Name" dataDxfId="1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F574B0-E032-4C35-9D79-D1859FA90ACD}" name="Tableau6" displayName="Tableau6" ref="F7:F11" totalsRowShown="0" headerRowDxfId="14" dataDxfId="13">
  <autoFilter ref="F7:F11" xr:uid="{BAF574B0-E032-4C35-9D79-D1859FA90ACD}"/>
  <tableColumns count="1">
    <tableColumn id="1" xr3:uid="{3674BB55-5789-451F-9516-6CEF528A315B}" name="Name" dataDxfId="1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5541F7B-DC8F-4E26-84B6-83A408318EBD}" name="Tableau8" displayName="Tableau8" ref="H6:H17" totalsRowShown="0" headerRowDxfId="11" dataDxfId="10">
  <autoFilter ref="H6:H17" xr:uid="{F5541F7B-DC8F-4E26-84B6-83A408318EBD}"/>
  <tableColumns count="1">
    <tableColumn id="1" xr3:uid="{BE607FF3-61DB-41E2-B9E4-6C17A53D6B6A}" name="Location on deck" dataDxfId="9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2B61C34-365D-468C-B7B6-E0985FE63025}" name="Tableau9" displayName="Tableau9" ref="B21:B25" totalsRowShown="0" headerRowDxfId="8" dataDxfId="7">
  <autoFilter ref="B21:B25" xr:uid="{82B61C34-365D-468C-B7B6-E0985FE63025}"/>
  <tableColumns count="1">
    <tableColumn id="1" xr3:uid="{4D4C7B23-B4CC-49A4-A78A-0143C5A2AE68}" name="Name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1F4EA08-9A20-4A6B-942D-7D34C981B30B}" name="Tableau10" displayName="Tableau10" ref="D21:D23" totalsRowShown="0" headerRowDxfId="5" dataDxfId="4">
  <autoFilter ref="D21:D23" xr:uid="{31F4EA08-9A20-4A6B-942D-7D34C981B30B}"/>
  <tableColumns count="1">
    <tableColumn id="1" xr3:uid="{50B8FDD3-B471-4FBC-AAC0-2AD4C3B18785}" name="Name" dataDxfId="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F41A919-387F-4766-981F-E39C7284F54F}" name="Tableau11" displayName="Tableau11" ref="F20:F22" totalsRowShown="0" headerRowDxfId="2" dataDxfId="1">
  <autoFilter ref="F20:F22" xr:uid="{BF41A919-387F-4766-981F-E39C7284F54F}"/>
  <tableColumns count="1">
    <tableColumn id="1" xr3:uid="{72EF67B0-E555-476D-9A18-CF9879485FB5}" name="Place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DNA Script">
      <a:dk1>
        <a:sysClr val="windowText" lastClr="000000"/>
      </a:dk1>
      <a:lt1>
        <a:sysClr val="window" lastClr="FFFFFF"/>
      </a:lt1>
      <a:dk2>
        <a:srgbClr val="050935"/>
      </a:dk2>
      <a:lt2>
        <a:srgbClr val="E7E6E6"/>
      </a:lt2>
      <a:accent1>
        <a:srgbClr val="050935"/>
      </a:accent1>
      <a:accent2>
        <a:srgbClr val="FF5843"/>
      </a:accent2>
      <a:accent3>
        <a:srgbClr val="888B8D"/>
      </a:accent3>
      <a:accent4>
        <a:srgbClr val="0668B2"/>
      </a:accent4>
      <a:accent5>
        <a:srgbClr val="D0D0CE"/>
      </a:accent5>
      <a:accent6>
        <a:srgbClr val="4BBA7C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36007-6D67-46AA-B743-C3C53DE129E3}">
  <sheetPr codeName="Feuil1"/>
  <dimension ref="B1:M31"/>
  <sheetViews>
    <sheetView tabSelected="1" zoomScale="80" zoomScaleNormal="80" zoomScaleSheetLayoutView="50" workbookViewId="0">
      <selection activeCell="G15" sqref="G15"/>
    </sheetView>
  </sheetViews>
  <sheetFormatPr baseColWidth="10" defaultRowHeight="14.5" x14ac:dyDescent="0.35"/>
  <cols>
    <col min="1" max="1" width="3" style="1" customWidth="1"/>
    <col min="2" max="2" width="21.54296875" style="1" customWidth="1"/>
    <col min="3" max="3" width="36.36328125" style="1" customWidth="1"/>
    <col min="4" max="4" width="35.453125" style="1" customWidth="1"/>
    <col min="5" max="5" width="10.90625" style="1"/>
    <col min="6" max="6" width="3.54296875" style="1" customWidth="1"/>
    <col min="7" max="7" width="13.7265625" style="1" customWidth="1"/>
    <col min="8" max="8" width="11.54296875" style="1" customWidth="1"/>
    <col min="9" max="9" width="10.7265625" style="1" customWidth="1"/>
    <col min="10" max="10" width="17.453125" style="1" customWidth="1"/>
    <col min="11" max="11" width="12.7265625" style="1" customWidth="1"/>
    <col min="12" max="16384" width="10.90625" style="1"/>
  </cols>
  <sheetData>
    <row r="1" spans="2:13" ht="15" thickBot="1" x14ac:dyDescent="0.4"/>
    <row r="2" spans="2:13" ht="14.5" customHeight="1" thickTop="1" x14ac:dyDescent="0.35">
      <c r="B2" s="255" t="s">
        <v>0</v>
      </c>
      <c r="C2" s="256"/>
      <c r="D2" s="256"/>
      <c r="E2" s="256"/>
      <c r="F2" s="256"/>
      <c r="G2" s="256"/>
      <c r="H2" s="256"/>
      <c r="I2" s="256"/>
      <c r="J2" s="256"/>
      <c r="K2" s="257"/>
    </row>
    <row r="3" spans="2:13" ht="14.5" customHeight="1" x14ac:dyDescent="0.35">
      <c r="B3" s="258"/>
      <c r="C3" s="259"/>
      <c r="D3" s="259"/>
      <c r="E3" s="259"/>
      <c r="F3" s="259"/>
      <c r="G3" s="259"/>
      <c r="H3" s="259"/>
      <c r="I3" s="259"/>
      <c r="J3" s="259"/>
      <c r="K3" s="260"/>
    </row>
    <row r="4" spans="2:13" ht="14.5" customHeight="1" x14ac:dyDescent="0.35">
      <c r="B4" s="258"/>
      <c r="C4" s="259"/>
      <c r="D4" s="259"/>
      <c r="E4" s="259"/>
      <c r="F4" s="259"/>
      <c r="G4" s="259"/>
      <c r="H4" s="259"/>
      <c r="I4" s="259"/>
      <c r="J4" s="259"/>
      <c r="K4" s="260"/>
    </row>
    <row r="5" spans="2:13" ht="14.5" customHeight="1" x14ac:dyDescent="0.35">
      <c r="B5" s="265" t="s">
        <v>1</v>
      </c>
      <c r="C5" s="266"/>
      <c r="D5" s="266"/>
      <c r="E5" s="266"/>
      <c r="F5" s="266"/>
      <c r="G5" s="266"/>
      <c r="H5" s="266"/>
      <c r="I5" s="266"/>
      <c r="J5" s="266"/>
      <c r="K5" s="267"/>
    </row>
    <row r="6" spans="2:13" ht="14.5" customHeight="1" x14ac:dyDescent="0.35">
      <c r="B6" s="265"/>
      <c r="C6" s="266"/>
      <c r="D6" s="266"/>
      <c r="E6" s="266"/>
      <c r="F6" s="266"/>
      <c r="G6" s="266"/>
      <c r="H6" s="266"/>
      <c r="I6" s="266"/>
      <c r="J6" s="266"/>
      <c r="K6" s="267"/>
    </row>
    <row r="7" spans="2:13" ht="20" customHeight="1" x14ac:dyDescent="0.35">
      <c r="B7" s="274" t="s">
        <v>46</v>
      </c>
      <c r="C7" s="268"/>
      <c r="D7" s="3">
        <v>100000000</v>
      </c>
      <c r="E7" s="275" t="s">
        <v>47</v>
      </c>
      <c r="F7" s="275"/>
      <c r="G7" s="274" t="s">
        <v>108</v>
      </c>
      <c r="H7" s="268"/>
      <c r="I7" s="268"/>
      <c r="J7" s="6">
        <f xml:space="preserve"> D8/D7</f>
        <v>0.2</v>
      </c>
      <c r="K7" s="5" t="s">
        <v>52</v>
      </c>
      <c r="L7" s="230"/>
    </row>
    <row r="8" spans="2:13" ht="20" customHeight="1" x14ac:dyDescent="0.35">
      <c r="B8" s="274" t="s">
        <v>48</v>
      </c>
      <c r="C8" s="268"/>
      <c r="D8" s="3">
        <v>20000000</v>
      </c>
      <c r="E8" s="275" t="s">
        <v>51</v>
      </c>
      <c r="F8" s="276"/>
      <c r="G8" s="268" t="s">
        <v>49</v>
      </c>
      <c r="H8" s="268"/>
      <c r="I8" s="268"/>
      <c r="J8" s="4" cm="1">
        <f t="array" ref="J8" xml:space="preserve"> _xlfn.IFS(TRUNC(LOG(D8)/LOG(4),0)+1&lt;20,TRUNC(LOG(D8)/LOG(4),0)+1,(TRUNC(LOG(D8)/LOG(4),0)+1)&gt;19,19)</f>
        <v>13</v>
      </c>
      <c r="K8" s="5" t="s">
        <v>53</v>
      </c>
    </row>
    <row r="9" spans="2:13" ht="20" customHeight="1" thickBot="1" x14ac:dyDescent="0.4">
      <c r="B9" s="269" t="s">
        <v>109</v>
      </c>
      <c r="C9" s="270"/>
      <c r="D9" s="246">
        <f ca="1">TODAY()</f>
        <v>44792</v>
      </c>
      <c r="E9" s="277">
        <f ca="1">D9</f>
        <v>44792</v>
      </c>
      <c r="F9" s="278"/>
      <c r="G9" s="269" t="s">
        <v>50</v>
      </c>
      <c r="H9" s="270"/>
      <c r="I9" s="270"/>
      <c r="J9" s="288">
        <f>[1]References!C27*J8</f>
        <v>0.13361111111111112</v>
      </c>
      <c r="K9" s="289"/>
    </row>
    <row r="10" spans="2:13" ht="20" customHeight="1" thickTop="1" x14ac:dyDescent="0.35">
      <c r="B10" s="282" t="s">
        <v>113</v>
      </c>
      <c r="C10" s="283"/>
      <c r="D10" s="286" t="s">
        <v>111</v>
      </c>
      <c r="E10" s="287"/>
      <c r="F10" s="231"/>
      <c r="G10" s="271" t="s">
        <v>110</v>
      </c>
      <c r="H10" s="272"/>
      <c r="I10" s="273"/>
      <c r="J10" s="290" t="s">
        <v>124</v>
      </c>
      <c r="K10" s="291"/>
      <c r="M10"/>
    </row>
    <row r="11" spans="2:13" ht="30" customHeight="1" thickBot="1" x14ac:dyDescent="0.4">
      <c r="B11" s="284"/>
      <c r="C11" s="285"/>
      <c r="D11" s="284"/>
      <c r="E11" s="285"/>
      <c r="F11" s="232"/>
      <c r="G11" s="279" t="str">
        <f ca="1">TEXT(D9,"aammjj")&amp;"_"&amp;J8&amp;"_"&amp;"mers"&amp;"_"&amp;"barcodes"</f>
        <v>220819_13_mers_barcodes</v>
      </c>
      <c r="H11" s="280"/>
      <c r="I11" s="281"/>
      <c r="J11" s="280"/>
      <c r="K11" s="281"/>
    </row>
    <row r="12" spans="2:13" ht="20" customHeight="1" thickTop="1" thickBot="1" x14ac:dyDescent="0.4"/>
    <row r="13" spans="2:13" ht="20" customHeight="1" thickTop="1" x14ac:dyDescent="0.35">
      <c r="B13" s="292" t="s">
        <v>121</v>
      </c>
      <c r="C13" s="293"/>
      <c r="D13" s="293"/>
      <c r="E13" s="293"/>
      <c r="F13" s="293"/>
      <c r="G13" s="293"/>
      <c r="H13" s="293"/>
      <c r="I13" s="293"/>
      <c r="J13" s="293"/>
      <c r="K13" s="294"/>
    </row>
    <row r="14" spans="2:13" ht="20" customHeight="1" thickBot="1" x14ac:dyDescent="0.4">
      <c r="B14" s="237" t="s">
        <v>122</v>
      </c>
      <c r="C14" s="297"/>
      <c r="D14" s="297"/>
      <c r="E14" s="295" t="s">
        <v>123</v>
      </c>
      <c r="F14" s="296"/>
      <c r="G14" s="297" t="s">
        <v>125</v>
      </c>
      <c r="H14" s="297"/>
      <c r="I14" s="297"/>
      <c r="J14" s="297"/>
      <c r="K14" s="298"/>
    </row>
    <row r="15" spans="2:13" ht="20" customHeight="1" thickTop="1" thickBot="1" x14ac:dyDescent="0.4"/>
    <row r="16" spans="2:13" ht="10" customHeight="1" thickTop="1" x14ac:dyDescent="0.35">
      <c r="B16" s="292" t="s">
        <v>114</v>
      </c>
      <c r="C16" s="293"/>
      <c r="D16" s="293"/>
      <c r="E16" s="293"/>
      <c r="F16" s="293"/>
      <c r="G16" s="293"/>
      <c r="H16" s="293"/>
      <c r="I16" s="293"/>
      <c r="J16" s="293"/>
      <c r="K16" s="294"/>
    </row>
    <row r="17" spans="2:11" ht="12" customHeight="1" x14ac:dyDescent="0.35">
      <c r="B17" s="265"/>
      <c r="C17" s="266"/>
      <c r="D17" s="266"/>
      <c r="E17" s="266"/>
      <c r="F17" s="266"/>
      <c r="G17" s="266"/>
      <c r="H17" s="266"/>
      <c r="I17" s="266"/>
      <c r="J17" s="266"/>
      <c r="K17" s="267"/>
    </row>
    <row r="18" spans="2:11" ht="20" customHeight="1" thickBot="1" x14ac:dyDescent="0.4">
      <c r="B18" s="234" t="s">
        <v>115</v>
      </c>
      <c r="C18" s="261" t="s">
        <v>116</v>
      </c>
      <c r="D18" s="261"/>
      <c r="E18" s="261"/>
      <c r="F18" s="261"/>
      <c r="G18" s="238" t="s">
        <v>117</v>
      </c>
      <c r="H18" s="235" t="s">
        <v>118</v>
      </c>
      <c r="I18" s="261" t="s">
        <v>119</v>
      </c>
      <c r="J18" s="261"/>
      <c r="K18" s="238" t="s">
        <v>92</v>
      </c>
    </row>
    <row r="19" spans="2:11" ht="19.5" customHeight="1" thickTop="1" thickBot="1" x14ac:dyDescent="0.4"/>
    <row r="20" spans="2:11" ht="15" customHeight="1" thickTop="1" x14ac:dyDescent="0.35">
      <c r="B20" s="255" t="s">
        <v>107</v>
      </c>
      <c r="C20" s="256"/>
      <c r="D20" s="256"/>
      <c r="E20" s="257"/>
    </row>
    <row r="21" spans="2:11" ht="14.5" customHeight="1" x14ac:dyDescent="0.35">
      <c r="B21" s="258"/>
      <c r="C21" s="259"/>
      <c r="D21" s="259"/>
      <c r="E21" s="260"/>
    </row>
    <row r="22" spans="2:11" ht="15.5" customHeight="1" x14ac:dyDescent="0.35">
      <c r="B22" s="262" t="s">
        <v>2</v>
      </c>
      <c r="C22" s="263"/>
      <c r="D22" s="263"/>
      <c r="E22" s="264"/>
    </row>
    <row r="23" spans="2:11" ht="15.5" customHeight="1" x14ac:dyDescent="0.35">
      <c r="B23" s="7" t="s">
        <v>25</v>
      </c>
      <c r="C23" s="178" t="s">
        <v>8</v>
      </c>
      <c r="D23" s="178" t="s">
        <v>9</v>
      </c>
      <c r="E23" s="8" t="s">
        <v>26</v>
      </c>
    </row>
    <row r="24" spans="2:11" ht="16" customHeight="1" x14ac:dyDescent="0.35">
      <c r="B24" s="179" t="s">
        <v>3</v>
      </c>
      <c r="C24" s="247" t="s">
        <v>6</v>
      </c>
      <c r="D24" s="248" t="str" cm="1">
        <f t="array" ref="D24">_xlfn.IFS(C24=Tableau1[Name],References!C8)</f>
        <v>opentrons_96_tiprack_300ul</v>
      </c>
      <c r="E24" s="228">
        <v>7</v>
      </c>
    </row>
    <row r="25" spans="2:11" ht="15.5" customHeight="1" x14ac:dyDescent="0.35">
      <c r="B25" s="179" t="s">
        <v>4</v>
      </c>
      <c r="C25" s="247" t="s">
        <v>15</v>
      </c>
      <c r="D25" s="248" t="str" cm="1">
        <f t="array" ref="D25">_xlfn.IFS(C25=References!D8,References!E8,C25=References!D9,References!E9,C25=References!D10,References!E10)</f>
        <v>usascientific_96_wellplate_2.4ml_deep</v>
      </c>
      <c r="E25" s="228">
        <v>4</v>
      </c>
    </row>
    <row r="26" spans="2:11" ht="16" customHeight="1" thickBot="1" x14ac:dyDescent="0.4">
      <c r="B26" s="10" t="s">
        <v>5</v>
      </c>
      <c r="C26" s="249" t="s">
        <v>19</v>
      </c>
      <c r="D26" s="250" t="str" cm="1">
        <f t="array" ref="D26">_xlfn.IFS(Controler!C26=References!F8,References!G8,Controler!C26=References!F9,References!G9,C26=References!F10,References!G10,C26=References!F11,References!G11)</f>
        <v>pall_96_wellplate_350ul_manifold</v>
      </c>
      <c r="E26" s="229">
        <v>6</v>
      </c>
    </row>
    <row r="27" spans="2:11" ht="16" customHeight="1" thickTop="1" x14ac:dyDescent="0.35">
      <c r="B27" s="262" t="s">
        <v>28</v>
      </c>
      <c r="C27" s="263"/>
      <c r="D27" s="263"/>
      <c r="E27" s="264"/>
    </row>
    <row r="28" spans="2:11" ht="16" customHeight="1" x14ac:dyDescent="0.35">
      <c r="B28" s="7" t="s">
        <v>45</v>
      </c>
      <c r="C28" s="178" t="s">
        <v>8</v>
      </c>
      <c r="D28" s="178" t="s">
        <v>9</v>
      </c>
      <c r="E28" s="8" t="s">
        <v>44</v>
      </c>
    </row>
    <row r="29" spans="2:11" ht="15.5" customHeight="1" x14ac:dyDescent="0.35">
      <c r="B29" s="179" t="s">
        <v>54</v>
      </c>
      <c r="C29" s="251" t="s">
        <v>30</v>
      </c>
      <c r="D29" s="252" t="str" cm="1">
        <f t="array" ref="D29">_xlfn.IFS(C29=References!$B$22,References!$C$22,C29=References!$B$23,References!$C$23,C29=References!$B$24,References!$C$24,C29=References!$B$25,References!$C$25)</f>
        <v>p300_single_gen2</v>
      </c>
      <c r="E29" s="9" t="s">
        <v>70</v>
      </c>
    </row>
    <row r="30" spans="2:11" ht="16" customHeight="1" thickBot="1" x14ac:dyDescent="0.4">
      <c r="B30" s="10" t="s">
        <v>55</v>
      </c>
      <c r="C30" s="253" t="s">
        <v>38</v>
      </c>
      <c r="D30" s="254" t="str" cm="1">
        <f t="array" ref="D30">_xlfn.IFS(Controler!C30=References!$D$22,References!$E$22,C30=References!$D$23,References!$E$23)</f>
        <v>p300_multi_gen2</v>
      </c>
      <c r="E30" s="11" t="s">
        <v>71</v>
      </c>
    </row>
    <row r="31" spans="2:11" ht="15" customHeight="1" thickTop="1" x14ac:dyDescent="0.35"/>
  </sheetData>
  <mergeCells count="28">
    <mergeCell ref="B16:K17"/>
    <mergeCell ref="B13:K13"/>
    <mergeCell ref="E14:F14"/>
    <mergeCell ref="C14:D14"/>
    <mergeCell ref="G14:K14"/>
    <mergeCell ref="G11:I11"/>
    <mergeCell ref="J11:K11"/>
    <mergeCell ref="B10:C11"/>
    <mergeCell ref="D10:E11"/>
    <mergeCell ref="J9:K9"/>
    <mergeCell ref="J10:K10"/>
    <mergeCell ref="B2:K4"/>
    <mergeCell ref="B5:K6"/>
    <mergeCell ref="G8:I8"/>
    <mergeCell ref="G9:I9"/>
    <mergeCell ref="G10:I10"/>
    <mergeCell ref="B7:C7"/>
    <mergeCell ref="B8:C8"/>
    <mergeCell ref="E7:F7"/>
    <mergeCell ref="E8:F8"/>
    <mergeCell ref="G7:I7"/>
    <mergeCell ref="B9:C9"/>
    <mergeCell ref="E9:F9"/>
    <mergeCell ref="B20:E21"/>
    <mergeCell ref="I18:J18"/>
    <mergeCell ref="C18:F18"/>
    <mergeCell ref="B27:E27"/>
    <mergeCell ref="B22:E22"/>
  </mergeCell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4A513AB3-488F-4327-B07F-4F20FAA4E6DA}">
          <x14:formula1>
            <xm:f>References!$B$8</xm:f>
          </x14:formula1>
          <xm:sqref>C24</xm:sqref>
        </x14:dataValidation>
        <x14:dataValidation type="list" allowBlank="1" showInputMessage="1" showErrorMessage="1" xr:uid="{5BC6790A-69E4-464F-8279-2AF775BF24B7}">
          <x14:formula1>
            <xm:f>References!$D$8:$D$10</xm:f>
          </x14:formula1>
          <xm:sqref>C25</xm:sqref>
        </x14:dataValidation>
        <x14:dataValidation type="list" allowBlank="1" showInputMessage="1" showErrorMessage="1" xr:uid="{E0570267-03A9-49B2-821A-88D90878B2B8}">
          <x14:formula1>
            <xm:f>References!$F$8:$F$11</xm:f>
          </x14:formula1>
          <xm:sqref>C26</xm:sqref>
        </x14:dataValidation>
        <x14:dataValidation type="list" allowBlank="1" showInputMessage="1" showErrorMessage="1" xr:uid="{C0986DE3-DE2E-42D1-B59C-FBD8D28CCD7F}">
          <x14:formula1>
            <xm:f>References!$H$7:$H$17</xm:f>
          </x14:formula1>
          <xm:sqref>E24:E26</xm:sqref>
        </x14:dataValidation>
        <x14:dataValidation type="list" allowBlank="1" showInputMessage="1" showErrorMessage="1" xr:uid="{43146FE2-0153-4220-BE8A-22AF74FF4F7C}">
          <x14:formula1>
            <xm:f>References!$B$22:$B$25</xm:f>
          </x14:formula1>
          <xm:sqref>C29</xm:sqref>
        </x14:dataValidation>
        <x14:dataValidation type="list" allowBlank="1" showInputMessage="1" showErrorMessage="1" xr:uid="{6E94CEDC-D0F5-44CB-9006-4BD40D032B27}">
          <x14:formula1>
            <xm:f>References!$D$22:$D$23</xm:f>
          </x14:formula1>
          <xm:sqref>C30</xm:sqref>
        </x14:dataValidation>
        <x14:dataValidation type="list" allowBlank="1" showInputMessage="1" showErrorMessage="1" xr:uid="{1F90946D-7133-4C38-B49E-53A00DE2893E}">
          <x14:formula1>
            <xm:f>References!$F$21:$F$22</xm:f>
          </x14:formula1>
          <xm:sqref>E29:E30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8E18-B9F7-4FDF-8B90-6E99C7032603}">
  <sheetPr codeName="Feuil5">
    <pageSetUpPr fitToPage="1"/>
  </sheetPr>
  <dimension ref="B1:BA48"/>
  <sheetViews>
    <sheetView zoomScale="30" zoomScaleNormal="30" zoomScaleSheetLayoutView="30" workbookViewId="0">
      <selection activeCell="U6" sqref="U6"/>
    </sheetView>
  </sheetViews>
  <sheetFormatPr baseColWidth="10" defaultRowHeight="14.5" x14ac:dyDescent="0.35"/>
  <cols>
    <col min="1" max="1" width="8.90625" customWidth="1"/>
    <col min="3" max="26" width="12" customWidth="1"/>
    <col min="27" max="27" width="5.1796875" customWidth="1"/>
    <col min="28" max="28" width="4.81640625" customWidth="1"/>
    <col min="30" max="53" width="12" customWidth="1"/>
  </cols>
  <sheetData>
    <row r="1" spans="2:53" x14ac:dyDescent="0.35">
      <c r="B1" s="345" t="s">
        <v>69</v>
      </c>
      <c r="C1" s="345"/>
      <c r="D1" s="345"/>
      <c r="E1" s="345"/>
      <c r="F1" s="345"/>
      <c r="G1" s="345"/>
      <c r="H1" s="345"/>
      <c r="I1" s="345"/>
      <c r="J1" s="345"/>
      <c r="K1" s="345"/>
      <c r="L1" s="345"/>
      <c r="M1" s="345"/>
      <c r="N1" s="345"/>
      <c r="O1" s="345"/>
      <c r="P1" s="345"/>
      <c r="Q1" s="345"/>
      <c r="R1" s="345"/>
      <c r="S1" s="345"/>
      <c r="T1" s="345"/>
      <c r="U1" s="345"/>
      <c r="V1" s="345"/>
      <c r="W1" s="345"/>
      <c r="X1" s="345"/>
      <c r="Y1" s="345"/>
      <c r="Z1" s="345"/>
      <c r="AC1" s="345" t="s">
        <v>69</v>
      </c>
      <c r="AD1" s="345"/>
      <c r="AE1" s="345"/>
      <c r="AF1" s="345"/>
      <c r="AG1" s="345"/>
      <c r="AH1" s="345"/>
      <c r="AI1" s="345"/>
      <c r="AJ1" s="345"/>
      <c r="AK1" s="345"/>
      <c r="AL1" s="345"/>
      <c r="AM1" s="345"/>
      <c r="AN1" s="345"/>
      <c r="AO1" s="345"/>
      <c r="AP1" s="345"/>
      <c r="AQ1" s="345"/>
      <c r="AR1" s="345"/>
      <c r="AS1" s="345"/>
      <c r="AT1" s="345"/>
      <c r="AU1" s="345"/>
      <c r="AV1" s="345"/>
      <c r="AW1" s="345"/>
      <c r="AX1" s="345"/>
      <c r="AY1" s="345"/>
      <c r="AZ1" s="345"/>
      <c r="BA1" s="345"/>
    </row>
    <row r="2" spans="2:53" ht="15.5" customHeight="1" x14ac:dyDescent="0.45">
      <c r="B2" s="345"/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0"/>
      <c r="AB2" s="30"/>
      <c r="AC2" s="345"/>
      <c r="AD2" s="345"/>
      <c r="AE2" s="345"/>
      <c r="AF2" s="345"/>
      <c r="AG2" s="345"/>
      <c r="AH2" s="345"/>
      <c r="AI2" s="345"/>
      <c r="AJ2" s="345"/>
      <c r="AK2" s="345"/>
      <c r="AL2" s="345"/>
      <c r="AM2" s="345"/>
      <c r="AN2" s="345"/>
      <c r="AO2" s="345"/>
      <c r="AP2" s="345"/>
      <c r="AQ2" s="345"/>
      <c r="AR2" s="345"/>
      <c r="AS2" s="345"/>
      <c r="AT2" s="345"/>
      <c r="AU2" s="345"/>
      <c r="AV2" s="345"/>
      <c r="AW2" s="345"/>
      <c r="AX2" s="345"/>
      <c r="AY2" s="345"/>
      <c r="AZ2" s="345"/>
      <c r="BA2" s="345"/>
    </row>
    <row r="3" spans="2:53" ht="15.5" customHeight="1" x14ac:dyDescent="0.45"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0"/>
      <c r="AB3" s="30"/>
      <c r="AC3" s="345"/>
      <c r="AD3" s="345"/>
      <c r="AE3" s="345"/>
      <c r="AF3" s="345"/>
      <c r="AG3" s="345"/>
      <c r="AH3" s="345"/>
      <c r="AI3" s="345"/>
      <c r="AJ3" s="345"/>
      <c r="AK3" s="345"/>
      <c r="AL3" s="345"/>
      <c r="AM3" s="345"/>
      <c r="AN3" s="345"/>
      <c r="AO3" s="345"/>
      <c r="AP3" s="345"/>
      <c r="AQ3" s="345"/>
      <c r="AR3" s="345"/>
      <c r="AS3" s="345"/>
      <c r="AT3" s="345"/>
      <c r="AU3" s="345"/>
      <c r="AV3" s="345"/>
      <c r="AW3" s="345"/>
      <c r="AX3" s="345"/>
      <c r="AY3" s="345"/>
      <c r="AZ3" s="345"/>
      <c r="BA3" s="345"/>
    </row>
    <row r="4" spans="2:53" ht="16" thickBot="1" x14ac:dyDescent="0.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  <c r="AQ4" s="30"/>
      <c r="AR4" s="30"/>
      <c r="AS4" s="30"/>
      <c r="AT4" s="30"/>
      <c r="AU4" s="30"/>
      <c r="AV4" s="30"/>
      <c r="AW4" s="30"/>
      <c r="AX4" s="30"/>
      <c r="AY4" s="30"/>
      <c r="AZ4" s="30"/>
      <c r="BA4" s="30"/>
    </row>
    <row r="5" spans="2:53" ht="36" customHeight="1" thickTop="1" thickBot="1" x14ac:dyDescent="0.5">
      <c r="B5" s="346" t="s">
        <v>112</v>
      </c>
      <c r="C5" s="347"/>
      <c r="D5" s="347"/>
      <c r="E5" s="347"/>
      <c r="F5" s="347"/>
      <c r="G5" s="347"/>
      <c r="H5" s="348">
        <f ca="1">Controler!$D$9</f>
        <v>44792</v>
      </c>
      <c r="I5" s="348"/>
      <c r="J5" s="348"/>
      <c r="K5" s="348"/>
      <c r="L5" s="348"/>
      <c r="M5" s="349"/>
      <c r="N5" s="236"/>
      <c r="O5" s="346" t="s">
        <v>110</v>
      </c>
      <c r="P5" s="347"/>
      <c r="Q5" s="347"/>
      <c r="R5" s="347"/>
      <c r="S5" s="347"/>
      <c r="T5" s="347"/>
      <c r="U5" s="343" t="str">
        <f ca="1">Controler!$G$11</f>
        <v>220819_13_mers_barcodes</v>
      </c>
      <c r="V5" s="343"/>
      <c r="W5" s="343"/>
      <c r="X5" s="343"/>
      <c r="Y5" s="343"/>
      <c r="Z5" s="344"/>
      <c r="AA5" s="30"/>
      <c r="AB5" s="30"/>
      <c r="AC5" s="346" t="s">
        <v>112</v>
      </c>
      <c r="AD5" s="347"/>
      <c r="AE5" s="347"/>
      <c r="AF5" s="347"/>
      <c r="AG5" s="347"/>
      <c r="AH5" s="347"/>
      <c r="AI5" s="348">
        <f ca="1">Controler!$D$9</f>
        <v>44792</v>
      </c>
      <c r="AJ5" s="348"/>
      <c r="AK5" s="348"/>
      <c r="AL5" s="348"/>
      <c r="AM5" s="348"/>
      <c r="AN5" s="349"/>
      <c r="AO5" s="236"/>
      <c r="AP5" s="346" t="s">
        <v>110</v>
      </c>
      <c r="AQ5" s="347"/>
      <c r="AR5" s="347"/>
      <c r="AS5" s="347"/>
      <c r="AT5" s="347"/>
      <c r="AU5" s="347"/>
      <c r="AV5" s="343" t="str">
        <f ca="1">Controler!$G$11</f>
        <v>220819_13_mers_barcodes</v>
      </c>
      <c r="AW5" s="343"/>
      <c r="AX5" s="343"/>
      <c r="AY5" s="343"/>
      <c r="AZ5" s="343"/>
      <c r="BA5" s="344"/>
    </row>
    <row r="6" spans="2:53" ht="18" customHeight="1" thickTop="1" thickBot="1" x14ac:dyDescent="0.5">
      <c r="AA6" s="30"/>
      <c r="AB6" s="30"/>
    </row>
    <row r="7" spans="2:53" ht="36" customHeight="1" thickTop="1" thickBot="1" x14ac:dyDescent="0.5">
      <c r="B7" s="342" t="str">
        <f>Controler!$C$18&amp;Controler!C14&amp;REPT("N",Controler!$J$8)&amp;Controler!G14</f>
        <v>/5AmMC12/CCCCCCCCCCCCCCCT/ideoxyI/TTCGTCGGCAGCGTCAGATGTGTATAAGAGACAGNNNNNNNNNNNNNATCGAATCGA</v>
      </c>
      <c r="C7" s="343"/>
      <c r="D7" s="343"/>
      <c r="E7" s="343"/>
      <c r="F7" s="343"/>
      <c r="G7" s="343"/>
      <c r="H7" s="343"/>
      <c r="I7" s="343"/>
      <c r="J7" s="343"/>
      <c r="K7" s="343"/>
      <c r="L7" s="343"/>
      <c r="M7" s="343"/>
      <c r="N7" s="343"/>
      <c r="O7" s="343"/>
      <c r="P7" s="343"/>
      <c r="Q7" s="343"/>
      <c r="R7" s="343"/>
      <c r="S7" s="343"/>
      <c r="T7" s="343"/>
      <c r="U7" s="343"/>
      <c r="V7" s="343"/>
      <c r="W7" s="343"/>
      <c r="X7" s="343"/>
      <c r="Y7" s="343"/>
      <c r="Z7" s="344"/>
      <c r="AA7" s="30"/>
      <c r="AB7" s="30"/>
      <c r="AC7" s="342" t="str">
        <f>Controler!$C$18&amp;Controler!C14&amp;REPT("N",Controler!$J$8)&amp;Controler!G14</f>
        <v>/5AmMC12/CCCCCCCCCCCCCCCT/ideoxyI/TTCGTCGGCAGCGTCAGATGTGTATAAGAGACAGNNNNNNNNNNNNNATCGAATCGA</v>
      </c>
      <c r="AD7" s="343"/>
      <c r="AE7" s="343"/>
      <c r="AF7" s="343"/>
      <c r="AG7" s="343"/>
      <c r="AH7" s="343"/>
      <c r="AI7" s="343"/>
      <c r="AJ7" s="343"/>
      <c r="AK7" s="343"/>
      <c r="AL7" s="343"/>
      <c r="AM7" s="343"/>
      <c r="AN7" s="343"/>
      <c r="AO7" s="343"/>
      <c r="AP7" s="343"/>
      <c r="AQ7" s="343"/>
      <c r="AR7" s="343"/>
      <c r="AS7" s="343"/>
      <c r="AT7" s="343"/>
      <c r="AU7" s="343"/>
      <c r="AV7" s="343"/>
      <c r="AW7" s="343"/>
      <c r="AX7" s="343"/>
      <c r="AY7" s="343"/>
      <c r="AZ7" s="343"/>
      <c r="BA7" s="344"/>
    </row>
    <row r="8" spans="2:53" ht="16.5" thickTop="1" thickBot="1" x14ac:dyDescent="0.5">
      <c r="B8" s="30"/>
      <c r="C8" s="30"/>
      <c r="D8" s="30"/>
      <c r="E8" s="30"/>
      <c r="F8" s="30"/>
      <c r="G8" s="30"/>
      <c r="H8" s="30"/>
      <c r="I8" s="30"/>
      <c r="J8" s="30"/>
      <c r="K8" s="30"/>
      <c r="L8" s="30"/>
      <c r="M8" s="30"/>
      <c r="N8" s="233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</row>
    <row r="9" spans="2:53" ht="16" thickTop="1" x14ac:dyDescent="0.45">
      <c r="B9" s="299" t="s">
        <v>4</v>
      </c>
      <c r="C9" s="300"/>
      <c r="D9" s="300"/>
      <c r="E9" s="300"/>
      <c r="F9" s="300"/>
      <c r="G9" s="300"/>
      <c r="H9" s="300"/>
      <c r="I9" s="300"/>
      <c r="J9" s="300"/>
      <c r="K9" s="300"/>
      <c r="L9" s="300"/>
      <c r="M9" s="300"/>
      <c r="N9" s="300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1"/>
      <c r="AA9" s="30"/>
      <c r="AB9" s="30"/>
      <c r="AG9" s="180"/>
      <c r="AH9" s="180"/>
      <c r="AI9" s="180"/>
      <c r="AJ9" s="180"/>
      <c r="AK9" s="180"/>
      <c r="AL9" s="180"/>
      <c r="AM9" s="180"/>
      <c r="AN9" s="180"/>
      <c r="AO9" s="180"/>
      <c r="AP9" s="180"/>
      <c r="AQ9" s="180"/>
      <c r="AR9" s="180"/>
      <c r="AS9" s="180"/>
      <c r="AT9" s="180"/>
      <c r="AU9" s="180"/>
      <c r="AV9" s="180"/>
      <c r="AW9" s="180"/>
      <c r="AX9" s="180"/>
      <c r="AY9" s="180"/>
      <c r="AZ9" s="180"/>
      <c r="BA9" s="180"/>
    </row>
    <row r="10" spans="2:53" ht="16" thickBot="1" x14ac:dyDescent="0.5">
      <c r="B10" s="302"/>
      <c r="C10" s="303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4"/>
      <c r="AA10" s="30"/>
      <c r="AB10" s="30"/>
      <c r="AG10" s="180"/>
      <c r="AH10" s="180"/>
      <c r="AI10" s="180"/>
      <c r="AJ10" s="180"/>
      <c r="AK10" s="180"/>
      <c r="AL10" s="180"/>
      <c r="AM10" s="180"/>
      <c r="AN10" s="180"/>
      <c r="AO10" s="180"/>
      <c r="AP10" s="180"/>
      <c r="AQ10" s="180"/>
      <c r="AR10" s="180"/>
      <c r="AS10" s="180"/>
      <c r="AT10" s="180"/>
      <c r="AU10" s="180"/>
      <c r="AV10" s="180"/>
      <c r="AW10" s="180"/>
      <c r="AX10" s="180"/>
      <c r="AY10" s="180"/>
      <c r="AZ10" s="180"/>
      <c r="BA10" s="180"/>
    </row>
    <row r="11" spans="2:53" ht="34" thickTop="1" thickBot="1" x14ac:dyDescent="0.5">
      <c r="B11" s="116"/>
      <c r="C11" s="311">
        <v>1</v>
      </c>
      <c r="D11" s="311"/>
      <c r="E11" s="311">
        <v>2</v>
      </c>
      <c r="F11" s="311"/>
      <c r="G11" s="311">
        <v>3</v>
      </c>
      <c r="H11" s="311"/>
      <c r="I11" s="311">
        <v>4</v>
      </c>
      <c r="J11" s="311"/>
      <c r="K11" s="311">
        <v>5</v>
      </c>
      <c r="L11" s="311"/>
      <c r="M11" s="311">
        <v>6</v>
      </c>
      <c r="N11" s="311"/>
      <c r="O11" s="311">
        <v>7</v>
      </c>
      <c r="P11" s="311"/>
      <c r="Q11" s="311">
        <v>8</v>
      </c>
      <c r="R11" s="311"/>
      <c r="S11" s="311">
        <v>9</v>
      </c>
      <c r="T11" s="311"/>
      <c r="U11" s="311">
        <v>10</v>
      </c>
      <c r="V11" s="311"/>
      <c r="W11" s="311">
        <v>11</v>
      </c>
      <c r="X11" s="311"/>
      <c r="Y11" s="311">
        <v>12</v>
      </c>
      <c r="Z11" s="332"/>
      <c r="AA11" s="30"/>
      <c r="AB11" s="30"/>
      <c r="AG11" s="180"/>
      <c r="AH11" s="225">
        <v>10</v>
      </c>
      <c r="AI11" s="226"/>
      <c r="AJ11" s="226"/>
      <c r="AK11" s="226"/>
      <c r="AL11" s="227"/>
      <c r="AM11" s="225">
        <v>11</v>
      </c>
      <c r="AN11" s="226"/>
      <c r="AO11" s="226"/>
      <c r="AP11" s="226"/>
      <c r="AQ11" s="227"/>
      <c r="AR11" s="312" t="s">
        <v>106</v>
      </c>
      <c r="AS11" s="313"/>
      <c r="AT11" s="313"/>
      <c r="AU11" s="313"/>
      <c r="AV11" s="314"/>
      <c r="AW11" s="180"/>
      <c r="AX11" s="180"/>
      <c r="AY11" s="180"/>
      <c r="AZ11" s="180"/>
      <c r="BA11" s="180"/>
    </row>
    <row r="12" spans="2:53" ht="26" customHeight="1" thickTop="1" thickBot="1" x14ac:dyDescent="0.5">
      <c r="B12" s="321" t="s">
        <v>58</v>
      </c>
      <c r="C12" s="42">
        <v>0</v>
      </c>
      <c r="D12" s="43"/>
      <c r="E12" s="44">
        <v>8</v>
      </c>
      <c r="F12" s="45"/>
      <c r="G12" s="46">
        <v>16</v>
      </c>
      <c r="H12" s="47"/>
      <c r="I12" s="48">
        <v>24</v>
      </c>
      <c r="J12" s="49"/>
      <c r="K12" s="50">
        <v>32</v>
      </c>
      <c r="L12" s="51"/>
      <c r="M12" s="75">
        <v>40</v>
      </c>
      <c r="N12" s="76"/>
      <c r="O12" s="36">
        <v>48</v>
      </c>
      <c r="P12" s="37"/>
      <c r="Q12" s="40">
        <v>56</v>
      </c>
      <c r="R12" s="117"/>
      <c r="S12" s="40">
        <v>64</v>
      </c>
      <c r="T12" s="117"/>
      <c r="U12" s="40">
        <v>72</v>
      </c>
      <c r="V12" s="117"/>
      <c r="W12" s="40">
        <v>80</v>
      </c>
      <c r="X12" s="117"/>
      <c r="Y12" s="40">
        <v>88</v>
      </c>
      <c r="Z12" s="117"/>
      <c r="AA12" s="30"/>
      <c r="AB12" s="30"/>
      <c r="AG12" s="180"/>
      <c r="AH12" s="326" t="e" cm="1">
        <f t="array" ref="AH12">_xlfn.IFS(Controler!$E$24=AH11,Controler!$B$24,Controler!$E$25=AH11,Controler!$B$25,Controler!$E$26=AH11,Controler!$B$26)</f>
        <v>#N/A</v>
      </c>
      <c r="AI12" s="327"/>
      <c r="AJ12" s="327"/>
      <c r="AK12" s="327"/>
      <c r="AL12" s="328"/>
      <c r="AM12" s="326" t="e" cm="1">
        <f t="array" ref="AM12">_xlfn.IFS(Controler!$E$24=AM11,Controler!$B$24,Controler!$E$25=AM11,Controler!$B$25,Controler!$E$26=AM11,Controler!$B$26)</f>
        <v>#N/A</v>
      </c>
      <c r="AN12" s="327"/>
      <c r="AO12" s="327"/>
      <c r="AP12" s="327"/>
      <c r="AQ12" s="328"/>
      <c r="AR12" s="315"/>
      <c r="AS12" s="316"/>
      <c r="AT12" s="316"/>
      <c r="AU12" s="316"/>
      <c r="AV12" s="317"/>
      <c r="AW12" s="180"/>
      <c r="AX12" s="180"/>
      <c r="AY12" s="180"/>
      <c r="AZ12" s="180"/>
      <c r="BA12" s="180"/>
    </row>
    <row r="13" spans="2:53" ht="26" customHeight="1" thickBot="1" x14ac:dyDescent="0.5">
      <c r="B13" s="321"/>
      <c r="C13" s="78">
        <f xml:space="preserve"> 0.025*(Controler!$J$8+References!C33)+0.1</f>
        <v>0.52500000000000002</v>
      </c>
      <c r="D13" s="55" t="s">
        <v>58</v>
      </c>
      <c r="E13" s="79">
        <f xml:space="preserve"> 0.025*(Controler!$J$8+References!C36)+0.1</f>
        <v>0.47499999999999998</v>
      </c>
      <c r="F13" s="57" t="s">
        <v>59</v>
      </c>
      <c r="G13" s="80">
        <f xml:space="preserve"> 0.05*(Controler!$J$8+References!C36)+0.15</f>
        <v>0.9</v>
      </c>
      <c r="H13" s="59" t="s">
        <v>60</v>
      </c>
      <c r="I13" s="81">
        <f xml:space="preserve"> 0.1*Controler!$J$8+0.2</f>
        <v>1.5</v>
      </c>
      <c r="J13" s="61" t="s">
        <v>61</v>
      </c>
      <c r="K13" s="82">
        <f xml:space="preserve"> 0.05*(Controler!$J$8+References!C36)+0.15</f>
        <v>0.9</v>
      </c>
      <c r="L13" s="63" t="s">
        <v>62</v>
      </c>
      <c r="M13" s="83"/>
      <c r="N13" s="84"/>
      <c r="O13" s="38"/>
      <c r="P13" s="39"/>
      <c r="Q13" s="85">
        <f xml:space="preserve"> 270/1000/4*Controler!$J$8+0.15</f>
        <v>1.0275000000000001</v>
      </c>
      <c r="R13" s="53" t="str">
        <f>References!$C$30</f>
        <v>W2</v>
      </c>
      <c r="S13" s="85">
        <f xml:space="preserve"> 270/1000/4*Controler!$J$8+0.15</f>
        <v>1.0275000000000001</v>
      </c>
      <c r="T13" s="53" t="str">
        <f>References!$C$30</f>
        <v>W2</v>
      </c>
      <c r="U13" s="85">
        <f xml:space="preserve"> 270/1000/4*Controler!$J$8+0.15</f>
        <v>1.0275000000000001</v>
      </c>
      <c r="V13" s="53" t="str">
        <f>References!$C$30</f>
        <v>W2</v>
      </c>
      <c r="W13" s="85">
        <f xml:space="preserve"> 270/1000/4*Controler!$J$8+0.15</f>
        <v>1.0275000000000001</v>
      </c>
      <c r="X13" s="53" t="str">
        <f>References!$C$30</f>
        <v>W2</v>
      </c>
      <c r="Y13" s="85" cm="1">
        <f t="array" ref="Y13" xml:space="preserve"> _xlfn.IFS(Controler!$J$8&lt;6,270/1000*Controler!$J$8+0.2,Controler!$J$8&lt;20,270/1000*5+0.2)</f>
        <v>1.55</v>
      </c>
      <c r="Z13" s="53" t="str">
        <f>References!$C$30</f>
        <v>W2</v>
      </c>
      <c r="AA13" s="30"/>
      <c r="AB13" s="30"/>
      <c r="AG13" s="180"/>
      <c r="AH13" s="326"/>
      <c r="AI13" s="327"/>
      <c r="AJ13" s="327"/>
      <c r="AK13" s="327"/>
      <c r="AL13" s="328"/>
      <c r="AM13" s="326"/>
      <c r="AN13" s="327"/>
      <c r="AO13" s="327"/>
      <c r="AP13" s="327"/>
      <c r="AQ13" s="328"/>
      <c r="AR13" s="315"/>
      <c r="AS13" s="316"/>
      <c r="AT13" s="316"/>
      <c r="AU13" s="316"/>
      <c r="AV13" s="317"/>
      <c r="AW13" s="180"/>
      <c r="AX13" s="180"/>
      <c r="AY13" s="180"/>
      <c r="AZ13" s="180"/>
      <c r="BA13" s="180"/>
    </row>
    <row r="14" spans="2:53" ht="26" customHeight="1" thickTop="1" thickBot="1" x14ac:dyDescent="0.5">
      <c r="B14" s="321" t="s">
        <v>66</v>
      </c>
      <c r="C14" s="64">
        <v>1</v>
      </c>
      <c r="D14" s="65"/>
      <c r="E14" s="44">
        <v>9</v>
      </c>
      <c r="F14" s="45"/>
      <c r="G14" s="46">
        <v>17</v>
      </c>
      <c r="H14" s="47"/>
      <c r="I14" s="48">
        <v>25</v>
      </c>
      <c r="J14" s="49"/>
      <c r="K14" s="50">
        <v>33</v>
      </c>
      <c r="L14" s="51"/>
      <c r="M14" s="75">
        <v>41</v>
      </c>
      <c r="N14" s="76"/>
      <c r="O14" s="36">
        <v>49</v>
      </c>
      <c r="P14" s="37"/>
      <c r="Q14" s="40">
        <v>57</v>
      </c>
      <c r="R14" s="77"/>
      <c r="S14" s="40">
        <v>65</v>
      </c>
      <c r="T14" s="77"/>
      <c r="U14" s="40">
        <v>73</v>
      </c>
      <c r="V14" s="77"/>
      <c r="W14" s="40">
        <v>81</v>
      </c>
      <c r="X14" s="77"/>
      <c r="Y14" s="40">
        <v>89</v>
      </c>
      <c r="Z14" s="77"/>
      <c r="AA14" s="30"/>
      <c r="AB14" s="30"/>
      <c r="AG14" s="180"/>
      <c r="AH14" s="329"/>
      <c r="AI14" s="330"/>
      <c r="AJ14" s="330"/>
      <c r="AK14" s="330"/>
      <c r="AL14" s="331"/>
      <c r="AM14" s="329"/>
      <c r="AN14" s="330"/>
      <c r="AO14" s="330"/>
      <c r="AP14" s="330"/>
      <c r="AQ14" s="331"/>
      <c r="AR14" s="318"/>
      <c r="AS14" s="319"/>
      <c r="AT14" s="319"/>
      <c r="AU14" s="319"/>
      <c r="AV14" s="320"/>
      <c r="AW14" s="180"/>
      <c r="AX14" s="180"/>
      <c r="AY14" s="180"/>
      <c r="AZ14" s="180"/>
      <c r="BA14" s="180"/>
    </row>
    <row r="15" spans="2:53" ht="26" customHeight="1" thickTop="1" thickBot="1" x14ac:dyDescent="0.5">
      <c r="B15" s="321"/>
      <c r="C15" s="86">
        <f xml:space="preserve"> 0.025*(Controler!$J$8+References!C34)+0.1</f>
        <v>0.47499999999999998</v>
      </c>
      <c r="D15" s="67" t="s">
        <v>63</v>
      </c>
      <c r="E15" s="79">
        <f xml:space="preserve"> 0.025*(Controler!$J$8)+0.1</f>
        <v>0.42500000000000004</v>
      </c>
      <c r="F15" s="57" t="s">
        <v>59</v>
      </c>
      <c r="G15" s="80">
        <f xml:space="preserve"> 0.05*(Controler!$J$8)+0.15</f>
        <v>0.8</v>
      </c>
      <c r="H15" s="59" t="s">
        <v>60</v>
      </c>
      <c r="I15" s="81">
        <f xml:space="preserve"> 0.1*Controler!$J$8+0.2</f>
        <v>1.5</v>
      </c>
      <c r="J15" s="61" t="s">
        <v>61</v>
      </c>
      <c r="K15" s="82">
        <f xml:space="preserve"> 0.05*Controler!$J$8+0.15</f>
        <v>0.8</v>
      </c>
      <c r="L15" s="63" t="s">
        <v>62</v>
      </c>
      <c r="M15" s="83"/>
      <c r="N15" s="84"/>
      <c r="O15" s="38"/>
      <c r="P15" s="39"/>
      <c r="Q15" s="85">
        <f xml:space="preserve"> 270/1000/4*Controler!$J$8+0.15</f>
        <v>1.0275000000000001</v>
      </c>
      <c r="R15" s="53" t="str">
        <f>References!$C$30</f>
        <v>W2</v>
      </c>
      <c r="S15" s="85">
        <f xml:space="preserve"> 270/1000/4*Controler!$J$8+0.15</f>
        <v>1.0275000000000001</v>
      </c>
      <c r="T15" s="53" t="str">
        <f>References!$C$30</f>
        <v>W2</v>
      </c>
      <c r="U15" s="85">
        <f xml:space="preserve"> 270/1000/4*Controler!$J$8+0.15</f>
        <v>1.0275000000000001</v>
      </c>
      <c r="V15" s="53" t="str">
        <f>References!$C$30</f>
        <v>W2</v>
      </c>
      <c r="W15" s="85">
        <f xml:space="preserve"> 270/1000/4*Controler!$J$8+0.15</f>
        <v>1.0275000000000001</v>
      </c>
      <c r="X15" s="53" t="str">
        <f>References!$C$30</f>
        <v>W2</v>
      </c>
      <c r="Y15" s="85" cm="1">
        <f t="array" ref="Y15" xml:space="preserve"> _xlfn.IFS(Controler!$J$8&lt;6,270/1000*Controler!$J$8+0.2,Controler!$J$8&lt;20,270/1000*5+0.2)</f>
        <v>1.55</v>
      </c>
      <c r="Z15" s="53" t="str">
        <f>References!$C$30</f>
        <v>W2</v>
      </c>
      <c r="AA15" s="30"/>
      <c r="AB15" s="30"/>
      <c r="AG15" s="180"/>
      <c r="AH15" s="225">
        <v>7</v>
      </c>
      <c r="AI15" s="226"/>
      <c r="AJ15" s="226"/>
      <c r="AK15" s="226"/>
      <c r="AL15" s="227"/>
      <c r="AM15" s="225">
        <v>8</v>
      </c>
      <c r="AN15" s="226"/>
      <c r="AO15" s="226"/>
      <c r="AP15" s="226"/>
      <c r="AQ15" s="227"/>
      <c r="AR15" s="225">
        <v>9</v>
      </c>
      <c r="AS15" s="226"/>
      <c r="AT15" s="226"/>
      <c r="AU15" s="226"/>
      <c r="AV15" s="227"/>
      <c r="AW15" s="180"/>
    </row>
    <row r="16" spans="2:53" ht="26" customHeight="1" thickTop="1" thickBot="1" x14ac:dyDescent="0.5">
      <c r="B16" s="321" t="s">
        <v>63</v>
      </c>
      <c r="C16" s="68">
        <v>2</v>
      </c>
      <c r="D16" s="69"/>
      <c r="E16" s="44">
        <v>10</v>
      </c>
      <c r="F16" s="45"/>
      <c r="G16" s="46">
        <v>18</v>
      </c>
      <c r="H16" s="47"/>
      <c r="I16" s="48">
        <v>26</v>
      </c>
      <c r="J16" s="49"/>
      <c r="K16" s="50">
        <v>34</v>
      </c>
      <c r="L16" s="51"/>
      <c r="M16" s="75">
        <v>42</v>
      </c>
      <c r="N16" s="76"/>
      <c r="O16" s="36">
        <v>50</v>
      </c>
      <c r="P16" s="37"/>
      <c r="Q16" s="40">
        <v>58</v>
      </c>
      <c r="R16" s="77"/>
      <c r="S16" s="40">
        <v>66</v>
      </c>
      <c r="T16" s="77"/>
      <c r="U16" s="40">
        <v>74</v>
      </c>
      <c r="V16" s="77"/>
      <c r="W16" s="40">
        <v>82</v>
      </c>
      <c r="X16" s="77"/>
      <c r="Y16" s="40">
        <v>90</v>
      </c>
      <c r="Z16" s="77"/>
      <c r="AA16" s="30"/>
      <c r="AB16" s="30"/>
      <c r="AC16" s="305" t="s">
        <v>101</v>
      </c>
      <c r="AD16" s="306"/>
      <c r="AE16" s="306"/>
      <c r="AF16" s="307"/>
      <c r="AG16" s="180"/>
      <c r="AH16" s="326" t="str" cm="1">
        <f t="array" ref="AH16">_xlfn.IFS(Controler!$E$24=AH15,Controler!$B$24,Controler!$E$25=AH15,Controler!$B$25,Controler!$E$26=AH15,Controler!$B$26)</f>
        <v>Tiprack</v>
      </c>
      <c r="AI16" s="327"/>
      <c r="AJ16" s="327"/>
      <c r="AK16" s="327"/>
      <c r="AL16" s="328"/>
      <c r="AM16" s="326" t="e" cm="1">
        <f t="array" ref="AM16">_xlfn.IFS(Controler!$E$24=AM15,Controler!$B$24,Controler!$E$25=AM15,Controler!$B$25,Controler!$E$26=AM15,Controler!$B$26)</f>
        <v>#N/A</v>
      </c>
      <c r="AN16" s="327"/>
      <c r="AO16" s="327"/>
      <c r="AP16" s="327"/>
      <c r="AQ16" s="328"/>
      <c r="AR16" s="326" t="e" cm="1">
        <f t="array" ref="AR16">_xlfn.IFS(Controler!$E$24=AR15,Controler!$B$24,Controler!$E$25=AR15,Controler!$B$25,Controler!$E$26=AR15,Controler!$B$26)</f>
        <v>#N/A</v>
      </c>
      <c r="AS16" s="327"/>
      <c r="AT16" s="327"/>
      <c r="AU16" s="327"/>
      <c r="AV16" s="328"/>
      <c r="AW16" s="180"/>
    </row>
    <row r="17" spans="2:53" ht="26" customHeight="1" thickBot="1" x14ac:dyDescent="0.5">
      <c r="B17" s="321"/>
      <c r="C17" s="87">
        <f xml:space="preserve"> 0.025*(Controler!$J$8+References!C35)+0.1</f>
        <v>0.47499999999999998</v>
      </c>
      <c r="D17" s="71" t="s">
        <v>64</v>
      </c>
      <c r="E17" s="79">
        <f xml:space="preserve"> 0.025*(Controler!$J$8)+0.1</f>
        <v>0.42500000000000004</v>
      </c>
      <c r="F17" s="57" t="s">
        <v>59</v>
      </c>
      <c r="G17" s="80">
        <f xml:space="preserve"> 0.05*(Controler!$J$8)+0.15</f>
        <v>0.8</v>
      </c>
      <c r="H17" s="59" t="s">
        <v>60</v>
      </c>
      <c r="I17" s="81">
        <f xml:space="preserve"> 0.1*Controler!$J$8+0.2</f>
        <v>1.5</v>
      </c>
      <c r="J17" s="61" t="s">
        <v>61</v>
      </c>
      <c r="K17" s="82">
        <f xml:space="preserve"> 0.05*Controler!$J$8+0.15</f>
        <v>0.8</v>
      </c>
      <c r="L17" s="63" t="s">
        <v>62</v>
      </c>
      <c r="M17" s="83"/>
      <c r="N17" s="84"/>
      <c r="O17" s="38"/>
      <c r="P17" s="39"/>
      <c r="Q17" s="85">
        <f xml:space="preserve"> 270/1000/4*Controler!$J$8+0.15</f>
        <v>1.0275000000000001</v>
      </c>
      <c r="R17" s="53" t="str">
        <f>References!$C$30</f>
        <v>W2</v>
      </c>
      <c r="S17" s="85">
        <f xml:space="preserve"> 270/1000/4*Controler!$J$8+0.15</f>
        <v>1.0275000000000001</v>
      </c>
      <c r="T17" s="53" t="str">
        <f>References!$C$30</f>
        <v>W2</v>
      </c>
      <c r="U17" s="85">
        <f xml:space="preserve"> 270/1000/4*Controler!$J$8+0.15</f>
        <v>1.0275000000000001</v>
      </c>
      <c r="V17" s="53" t="str">
        <f>References!$C$30</f>
        <v>W2</v>
      </c>
      <c r="W17" s="85">
        <f xml:space="preserve"> 270/1000/4*Controler!$J$8+0.15</f>
        <v>1.0275000000000001</v>
      </c>
      <c r="X17" s="53" t="str">
        <f>References!$C$30</f>
        <v>W2</v>
      </c>
      <c r="Y17" s="85" cm="1">
        <f t="array" ref="Y17" xml:space="preserve"> _xlfn.IFS(Controler!$J$8&lt;6,0,Controler!$J$8&lt;12,270/1000*(Controler!$J$8-5)+0.2,Controler!$J$8&lt;20,270/1000*7+0.2)</f>
        <v>2.0900000000000003</v>
      </c>
      <c r="Z17" s="53" t="str">
        <f>References!$C$30</f>
        <v>W2</v>
      </c>
      <c r="AA17" s="30"/>
      <c r="AB17" s="30"/>
      <c r="AC17" s="308"/>
      <c r="AD17" s="309"/>
      <c r="AE17" s="309"/>
      <c r="AF17" s="310"/>
      <c r="AG17" s="180"/>
      <c r="AH17" s="326"/>
      <c r="AI17" s="327"/>
      <c r="AJ17" s="327"/>
      <c r="AK17" s="327"/>
      <c r="AL17" s="328"/>
      <c r="AM17" s="326"/>
      <c r="AN17" s="327"/>
      <c r="AO17" s="327"/>
      <c r="AP17" s="327"/>
      <c r="AQ17" s="328"/>
      <c r="AR17" s="326"/>
      <c r="AS17" s="327"/>
      <c r="AT17" s="327"/>
      <c r="AU17" s="327"/>
      <c r="AV17" s="328"/>
      <c r="AW17" s="180"/>
    </row>
    <row r="18" spans="2:53" ht="26" customHeight="1" thickTop="1" thickBot="1" x14ac:dyDescent="0.5">
      <c r="B18" s="321" t="s">
        <v>61</v>
      </c>
      <c r="C18" s="72">
        <v>3</v>
      </c>
      <c r="D18" s="73"/>
      <c r="E18" s="44">
        <v>11</v>
      </c>
      <c r="F18" s="45"/>
      <c r="G18" s="46">
        <v>19</v>
      </c>
      <c r="H18" s="47"/>
      <c r="I18" s="48">
        <v>27</v>
      </c>
      <c r="J18" s="49"/>
      <c r="K18" s="50">
        <v>35</v>
      </c>
      <c r="L18" s="51"/>
      <c r="M18" s="75">
        <v>43</v>
      </c>
      <c r="N18" s="76"/>
      <c r="O18" s="36">
        <v>51</v>
      </c>
      <c r="P18" s="37"/>
      <c r="Q18" s="40">
        <v>59</v>
      </c>
      <c r="R18" s="77"/>
      <c r="S18" s="40">
        <v>67</v>
      </c>
      <c r="T18" s="77"/>
      <c r="U18" s="40">
        <v>75</v>
      </c>
      <c r="V18" s="77"/>
      <c r="W18" s="40">
        <v>83</v>
      </c>
      <c r="X18" s="77"/>
      <c r="Y18" s="40">
        <v>91</v>
      </c>
      <c r="Z18" s="77"/>
      <c r="AA18" s="30"/>
      <c r="AB18" s="30"/>
      <c r="AC18" s="308"/>
      <c r="AD18" s="309"/>
      <c r="AE18" s="309"/>
      <c r="AF18" s="310"/>
      <c r="AG18" s="180"/>
      <c r="AH18" s="329"/>
      <c r="AI18" s="330"/>
      <c r="AJ18" s="330"/>
      <c r="AK18" s="330"/>
      <c r="AL18" s="331"/>
      <c r="AM18" s="329"/>
      <c r="AN18" s="330"/>
      <c r="AO18" s="330"/>
      <c r="AP18" s="330"/>
      <c r="AQ18" s="331"/>
      <c r="AR18" s="329"/>
      <c r="AS18" s="330"/>
      <c r="AT18" s="330"/>
      <c r="AU18" s="330"/>
      <c r="AV18" s="331"/>
      <c r="AW18" s="180"/>
    </row>
    <row r="19" spans="2:53" ht="26" customHeight="1" thickTop="1" thickBot="1" x14ac:dyDescent="0.5">
      <c r="B19" s="321"/>
      <c r="C19" s="88">
        <f xml:space="preserve"> 0.025*(Controler!$J$8+References!C35)+0.1</f>
        <v>0.47499999999999998</v>
      </c>
      <c r="D19" s="74" t="s">
        <v>65</v>
      </c>
      <c r="E19" s="79">
        <f xml:space="preserve"> 0.025*(Controler!$J$8)+0.1</f>
        <v>0.42500000000000004</v>
      </c>
      <c r="F19" s="57" t="s">
        <v>59</v>
      </c>
      <c r="G19" s="80">
        <f xml:space="preserve"> 0.05*(Controler!$J$8)+0.15</f>
        <v>0.8</v>
      </c>
      <c r="H19" s="59" t="s">
        <v>60</v>
      </c>
      <c r="I19" s="81">
        <f xml:space="preserve"> 0.1*Controler!$J$8+0.2</f>
        <v>1.5</v>
      </c>
      <c r="J19" s="61" t="s">
        <v>61</v>
      </c>
      <c r="K19" s="82">
        <f xml:space="preserve"> 0.05*Controler!$J$8+0.15</f>
        <v>0.8</v>
      </c>
      <c r="L19" s="63" t="s">
        <v>62</v>
      </c>
      <c r="M19" s="83"/>
      <c r="N19" s="84"/>
      <c r="O19" s="38"/>
      <c r="P19" s="39"/>
      <c r="Q19" s="85">
        <f xml:space="preserve"> 270/1000/4*Controler!$J$8+0.15</f>
        <v>1.0275000000000001</v>
      </c>
      <c r="R19" s="53" t="str">
        <f>References!$C$30</f>
        <v>W2</v>
      </c>
      <c r="S19" s="85">
        <f xml:space="preserve"> 270/1000/4*Controler!$J$8+0.15</f>
        <v>1.0275000000000001</v>
      </c>
      <c r="T19" s="53" t="str">
        <f>References!$C$30</f>
        <v>W2</v>
      </c>
      <c r="U19" s="85">
        <f xml:space="preserve"> 270/1000/4*Controler!$J$8+0.15</f>
        <v>1.0275000000000001</v>
      </c>
      <c r="V19" s="53" t="str">
        <f>References!$C$30</f>
        <v>W2</v>
      </c>
      <c r="W19" s="85">
        <f xml:space="preserve"> 270/1000/4*Controler!$J$8+0.15</f>
        <v>1.0275000000000001</v>
      </c>
      <c r="X19" s="53" t="str">
        <f>References!$C$30</f>
        <v>W2</v>
      </c>
      <c r="Y19" s="85" cm="1">
        <f t="array" ref="Y19" xml:space="preserve"> _xlfn.IFS(Controler!$J$8&lt;6,0,Controler!$J$8&lt;12,270/1000*(Controler!$J$8-5)+0.2,Controler!$J$8&lt;20,270/1000*7+0.2)</f>
        <v>2.0900000000000003</v>
      </c>
      <c r="Z19" s="53" t="str">
        <f>References!$C$30</f>
        <v>W2</v>
      </c>
      <c r="AA19" s="30"/>
      <c r="AB19" s="30"/>
      <c r="AC19" s="322" t="s">
        <v>86</v>
      </c>
      <c r="AD19" s="323"/>
      <c r="AE19" s="324">
        <f>SUM(E13+E15+E17+E19)+0.2</f>
        <v>1.9500000000000002</v>
      </c>
      <c r="AF19" s="325"/>
      <c r="AG19" s="180"/>
      <c r="AH19" s="225">
        <v>4</v>
      </c>
      <c r="AI19" s="226"/>
      <c r="AJ19" s="226"/>
      <c r="AK19" s="226"/>
      <c r="AL19" s="227"/>
      <c r="AM19" s="225">
        <v>5</v>
      </c>
      <c r="AN19" s="226"/>
      <c r="AO19" s="226"/>
      <c r="AP19" s="226"/>
      <c r="AQ19" s="227"/>
      <c r="AR19" s="225">
        <v>6</v>
      </c>
      <c r="AS19" s="226"/>
      <c r="AT19" s="226"/>
      <c r="AU19" s="226"/>
      <c r="AV19" s="227"/>
      <c r="AW19" s="180"/>
    </row>
    <row r="20" spans="2:53" ht="26" customHeight="1" thickTop="1" thickBot="1" x14ac:dyDescent="0.5">
      <c r="B20" s="321" t="s">
        <v>59</v>
      </c>
      <c r="C20" s="36">
        <v>4</v>
      </c>
      <c r="D20" s="37"/>
      <c r="E20" s="36">
        <v>12</v>
      </c>
      <c r="F20" s="37"/>
      <c r="G20" s="36">
        <v>20</v>
      </c>
      <c r="H20" s="37"/>
      <c r="I20" s="31">
        <v>28</v>
      </c>
      <c r="J20" s="32"/>
      <c r="K20" s="36">
        <v>36</v>
      </c>
      <c r="L20" s="37"/>
      <c r="M20" s="36">
        <v>44</v>
      </c>
      <c r="N20" s="37"/>
      <c r="O20" s="36">
        <v>52</v>
      </c>
      <c r="P20" s="37"/>
      <c r="Q20" s="36">
        <v>60</v>
      </c>
      <c r="R20" s="37"/>
      <c r="S20" s="75">
        <v>68</v>
      </c>
      <c r="T20" s="89"/>
      <c r="U20" s="75">
        <v>76</v>
      </c>
      <c r="V20" s="76"/>
      <c r="W20" s="75">
        <v>84</v>
      </c>
      <c r="X20" s="76"/>
      <c r="Y20" s="40">
        <v>92</v>
      </c>
      <c r="Z20" s="77"/>
      <c r="AA20" s="30"/>
      <c r="AB20" s="30"/>
      <c r="AC20" s="336" t="s">
        <v>102</v>
      </c>
      <c r="AD20" s="337"/>
      <c r="AE20" s="338">
        <f>AE19*4/5</f>
        <v>1.56</v>
      </c>
      <c r="AF20" s="339"/>
      <c r="AG20" s="180"/>
      <c r="AH20" s="326" t="str" cm="1">
        <f t="array" ref="AH20">_xlfn.IFS(Controler!$E$24=AH19,Controler!$B$24,Controler!$E$25=AH19,Controler!$B$25,Controler!$E$26=AH19,Controler!$B$26)</f>
        <v>ReagentReservoir</v>
      </c>
      <c r="AI20" s="327"/>
      <c r="AJ20" s="327"/>
      <c r="AK20" s="327"/>
      <c r="AL20" s="328"/>
      <c r="AM20" s="326" t="e" cm="1">
        <f t="array" ref="AM20">_xlfn.IFS(Controler!$E$24=AM19,Controler!$B$24,Controler!$E$25=AM19,Controler!$B$25,Controler!$E$26=AM19,Controler!$B$26)</f>
        <v>#N/A</v>
      </c>
      <c r="AN20" s="327"/>
      <c r="AO20" s="327"/>
      <c r="AP20" s="327"/>
      <c r="AQ20" s="328"/>
      <c r="AR20" s="326" t="str" cm="1">
        <f t="array" ref="AR20">_xlfn.IFS(Controler!$E$24=AR19,Controler!$B$24,Controler!$E$25=AR19,Controler!$B$25,Controler!$E$26=AR19,Controler!$B$26)</f>
        <v>FilterPlate</v>
      </c>
      <c r="AS20" s="327"/>
      <c r="AT20" s="327"/>
      <c r="AU20" s="327"/>
      <c r="AV20" s="328"/>
      <c r="AW20" s="180"/>
    </row>
    <row r="21" spans="2:53" ht="26" customHeight="1" thickBot="1" x14ac:dyDescent="0.5">
      <c r="B21" s="321"/>
      <c r="C21" s="38"/>
      <c r="D21" s="39"/>
      <c r="E21" s="38"/>
      <c r="F21" s="39"/>
      <c r="G21" s="38"/>
      <c r="H21" s="39"/>
      <c r="I21" s="245" cm="1">
        <f t="array" ref="I21">_xlfn.IFS(References!C37&gt;0,0.1*References!C36+0.1,References!C37=0,"")</f>
        <v>0.30000000000000004</v>
      </c>
      <c r="J21" s="34" t="str" cm="1">
        <f t="array" ref="J21">_xlfn.IFS(References!C37&gt;0,"D",References!C37=0,"")</f>
        <v>D</v>
      </c>
      <c r="K21" s="38"/>
      <c r="L21" s="39"/>
      <c r="M21" s="38"/>
      <c r="N21" s="39"/>
      <c r="O21" s="38"/>
      <c r="P21" s="39"/>
      <c r="Q21" s="38"/>
      <c r="R21" s="39"/>
      <c r="S21" s="83"/>
      <c r="T21" s="90"/>
      <c r="U21" s="83"/>
      <c r="V21" s="84"/>
      <c r="W21" s="83"/>
      <c r="X21" s="84"/>
      <c r="Y21" s="85" cm="1">
        <f t="array" ref="Y21" xml:space="preserve"> _xlfn.IFS(Controler!$J$8&lt;7,0,Controler!$J$8&lt;13,0,Controler!$J$8&lt;20,270/1000*(Controler!$J$8-6*2)+0.2)</f>
        <v>0.47000000000000003</v>
      </c>
      <c r="Z21" s="53" t="str">
        <f>References!$C$30</f>
        <v>W2</v>
      </c>
      <c r="AA21" s="30"/>
      <c r="AB21" s="30"/>
      <c r="AC21" s="340" t="s">
        <v>92</v>
      </c>
      <c r="AD21" s="341"/>
      <c r="AE21" s="334">
        <f>AE19*1/5</f>
        <v>0.39</v>
      </c>
      <c r="AF21" s="335"/>
      <c r="AG21" s="180"/>
      <c r="AH21" s="326"/>
      <c r="AI21" s="327"/>
      <c r="AJ21" s="327"/>
      <c r="AK21" s="327"/>
      <c r="AL21" s="328"/>
      <c r="AM21" s="326"/>
      <c r="AN21" s="327"/>
      <c r="AO21" s="327"/>
      <c r="AP21" s="327"/>
      <c r="AQ21" s="328"/>
      <c r="AR21" s="326"/>
      <c r="AS21" s="327"/>
      <c r="AT21" s="327"/>
      <c r="AU21" s="327"/>
      <c r="AV21" s="328"/>
      <c r="AW21" s="180"/>
      <c r="AX21" s="180"/>
      <c r="AY21" s="180"/>
      <c r="AZ21" s="180"/>
      <c r="BA21" s="180"/>
    </row>
    <row r="22" spans="2:53" ht="26" customHeight="1" thickTop="1" thickBot="1" x14ac:dyDescent="0.5">
      <c r="B22" s="321" t="s">
        <v>67</v>
      </c>
      <c r="C22" s="36">
        <v>5</v>
      </c>
      <c r="D22" s="37"/>
      <c r="E22" s="36">
        <v>13</v>
      </c>
      <c r="F22" s="37"/>
      <c r="G22" s="36">
        <v>21</v>
      </c>
      <c r="H22" s="37"/>
      <c r="I22" s="36">
        <v>29</v>
      </c>
      <c r="J22" s="37"/>
      <c r="K22" s="36">
        <v>37</v>
      </c>
      <c r="L22" s="37"/>
      <c r="M22" s="36">
        <v>45</v>
      </c>
      <c r="N22" s="37"/>
      <c r="O22" s="36">
        <v>53</v>
      </c>
      <c r="P22" s="37"/>
      <c r="Q22" s="36">
        <v>61</v>
      </c>
      <c r="R22" s="37"/>
      <c r="S22" s="75">
        <v>69</v>
      </c>
      <c r="T22" s="89"/>
      <c r="U22" s="75">
        <v>77</v>
      </c>
      <c r="V22" s="76"/>
      <c r="W22" s="75">
        <v>85</v>
      </c>
      <c r="X22" s="76"/>
      <c r="Y22" s="40">
        <v>93</v>
      </c>
      <c r="Z22" s="77"/>
      <c r="AA22" s="30"/>
      <c r="AB22" s="30"/>
      <c r="AC22" s="30"/>
      <c r="AD22" s="30"/>
      <c r="AE22" s="30"/>
      <c r="AF22" s="30"/>
      <c r="AG22" s="180"/>
      <c r="AH22" s="329"/>
      <c r="AI22" s="330"/>
      <c r="AJ22" s="330"/>
      <c r="AK22" s="330"/>
      <c r="AL22" s="331"/>
      <c r="AM22" s="329"/>
      <c r="AN22" s="330"/>
      <c r="AO22" s="330"/>
      <c r="AP22" s="330"/>
      <c r="AQ22" s="331"/>
      <c r="AR22" s="329"/>
      <c r="AS22" s="330"/>
      <c r="AT22" s="330"/>
      <c r="AU22" s="330"/>
      <c r="AV22" s="331"/>
      <c r="AW22" s="180"/>
      <c r="AX22" s="180"/>
      <c r="AY22" s="180"/>
      <c r="AZ22" s="180"/>
      <c r="BA22" s="180"/>
    </row>
    <row r="23" spans="2:53" ht="26" customHeight="1" thickTop="1" thickBot="1" x14ac:dyDescent="0.5">
      <c r="B23" s="321"/>
      <c r="C23" s="38"/>
      <c r="D23" s="39"/>
      <c r="E23" s="38"/>
      <c r="F23" s="39"/>
      <c r="G23" s="38"/>
      <c r="H23" s="39"/>
      <c r="I23" s="38"/>
      <c r="J23" s="39"/>
      <c r="K23" s="38"/>
      <c r="L23" s="39"/>
      <c r="M23" s="38"/>
      <c r="N23" s="39"/>
      <c r="O23" s="38"/>
      <c r="P23" s="39"/>
      <c r="Q23" s="38"/>
      <c r="R23" s="39"/>
      <c r="S23" s="83"/>
      <c r="T23" s="90"/>
      <c r="U23" s="83"/>
      <c r="V23" s="84"/>
      <c r="W23" s="83"/>
      <c r="X23" s="84"/>
      <c r="Y23" s="85" cm="1">
        <f t="array" ref="Y23" xml:space="preserve"> _xlfn.IFS(Controler!$J$8&lt;7,0,Controler!$J$8&lt;13,0,Controler!$J$8&lt;20,270/1000*(Controler!$J$8-6*2)+0.2)</f>
        <v>0.47000000000000003</v>
      </c>
      <c r="Z23" s="53" t="str">
        <f>References!$C$30</f>
        <v>W2</v>
      </c>
      <c r="AA23" s="30"/>
      <c r="AB23" s="30"/>
      <c r="AC23" s="30"/>
      <c r="AD23" s="30"/>
      <c r="AE23" s="30"/>
      <c r="AF23" s="30"/>
      <c r="AG23" s="180"/>
      <c r="AH23" s="225">
        <v>1</v>
      </c>
      <c r="AI23" s="226"/>
      <c r="AJ23" s="226"/>
      <c r="AK23" s="226"/>
      <c r="AL23" s="227"/>
      <c r="AM23" s="225">
        <v>2</v>
      </c>
      <c r="AN23" s="226"/>
      <c r="AO23" s="226"/>
      <c r="AP23" s="226"/>
      <c r="AQ23" s="227"/>
      <c r="AR23" s="225">
        <v>3</v>
      </c>
      <c r="AS23" s="226"/>
      <c r="AT23" s="226"/>
      <c r="AU23" s="226"/>
      <c r="AV23" s="227"/>
      <c r="AW23" s="180"/>
      <c r="AX23" s="180"/>
      <c r="AY23" s="180"/>
      <c r="AZ23" s="180"/>
      <c r="BA23" s="180"/>
    </row>
    <row r="24" spans="2:53" ht="26" customHeight="1" thickTop="1" thickBot="1" x14ac:dyDescent="0.5">
      <c r="B24" s="321" t="s">
        <v>64</v>
      </c>
      <c r="C24" s="36">
        <v>6</v>
      </c>
      <c r="D24" s="37"/>
      <c r="E24" s="36">
        <v>14</v>
      </c>
      <c r="F24" s="37"/>
      <c r="G24" s="36">
        <v>22</v>
      </c>
      <c r="H24" s="37"/>
      <c r="I24" s="36">
        <v>30</v>
      </c>
      <c r="J24" s="37"/>
      <c r="K24" s="36">
        <v>38</v>
      </c>
      <c r="L24" s="37"/>
      <c r="M24" s="36">
        <v>46</v>
      </c>
      <c r="N24" s="37"/>
      <c r="O24" s="36">
        <v>54</v>
      </c>
      <c r="P24" s="37"/>
      <c r="Q24" s="36">
        <v>62</v>
      </c>
      <c r="R24" s="37"/>
      <c r="S24" s="75">
        <v>70</v>
      </c>
      <c r="T24" s="89"/>
      <c r="U24" s="75">
        <v>78</v>
      </c>
      <c r="V24" s="76"/>
      <c r="W24" s="75">
        <v>86</v>
      </c>
      <c r="X24" s="76"/>
      <c r="Y24" s="75">
        <v>94</v>
      </c>
      <c r="Z24" s="76"/>
      <c r="AA24" s="30"/>
      <c r="AB24" s="30"/>
      <c r="AC24" s="30"/>
      <c r="AD24" s="30"/>
      <c r="AE24" s="30"/>
      <c r="AF24" s="30"/>
      <c r="AG24" s="180"/>
      <c r="AH24" s="326" t="e" cm="1">
        <f t="array" ref="AH24">_xlfn.IFS(Controler!$E$24=AH23,Controler!$B$24,Controler!$E$25=AH23,Controler!$B$25,Controler!$E$26=AH23,Controler!$B$26)</f>
        <v>#N/A</v>
      </c>
      <c r="AI24" s="327"/>
      <c r="AJ24" s="327"/>
      <c r="AK24" s="327"/>
      <c r="AL24" s="328"/>
      <c r="AM24" s="326" t="e" cm="1">
        <f t="array" ref="AM24">_xlfn.IFS(Controler!$E$24=AM23,Controler!$B$24,Controler!$E$25=AM23,Controler!$B$25,Controler!$E$26=AM23,Controler!$B$26)</f>
        <v>#N/A</v>
      </c>
      <c r="AN24" s="327"/>
      <c r="AO24" s="327"/>
      <c r="AP24" s="327"/>
      <c r="AQ24" s="328"/>
      <c r="AR24" s="326" t="e" cm="1">
        <f t="array" ref="AR24">_xlfn.IFS(Controler!$E$24=AR23,Controler!$B$24,Controler!$E$25=AR23,Controler!$B$25,Controler!$E$26=AR23,Controler!$B$26)</f>
        <v>#N/A</v>
      </c>
      <c r="AS24" s="327"/>
      <c r="AT24" s="327"/>
      <c r="AU24" s="327"/>
      <c r="AV24" s="328"/>
      <c r="AW24" s="180"/>
      <c r="AX24" s="180"/>
      <c r="AY24" s="180"/>
      <c r="AZ24" s="180"/>
      <c r="BA24" s="180"/>
    </row>
    <row r="25" spans="2:53" ht="26" customHeight="1" thickBot="1" x14ac:dyDescent="0.5">
      <c r="B25" s="321"/>
      <c r="C25" s="38"/>
      <c r="D25" s="39"/>
      <c r="E25" s="38"/>
      <c r="F25" s="39"/>
      <c r="G25" s="38"/>
      <c r="H25" s="39"/>
      <c r="I25" s="38"/>
      <c r="J25" s="39"/>
      <c r="K25" s="38"/>
      <c r="L25" s="39"/>
      <c r="M25" s="38"/>
      <c r="N25" s="39"/>
      <c r="O25" s="38"/>
      <c r="P25" s="39"/>
      <c r="Q25" s="38"/>
      <c r="R25" s="39"/>
      <c r="S25" s="83"/>
      <c r="T25" s="90"/>
      <c r="U25" s="83"/>
      <c r="V25" s="84"/>
      <c r="W25" s="83"/>
      <c r="X25" s="84"/>
      <c r="Y25" s="83"/>
      <c r="Z25" s="84"/>
      <c r="AA25" s="30"/>
      <c r="AB25" s="30"/>
      <c r="AC25" s="30"/>
      <c r="AD25" s="30"/>
      <c r="AE25" s="30"/>
      <c r="AF25" s="30"/>
      <c r="AG25" s="180"/>
      <c r="AH25" s="326"/>
      <c r="AI25" s="327"/>
      <c r="AJ25" s="327"/>
      <c r="AK25" s="327"/>
      <c r="AL25" s="328"/>
      <c r="AM25" s="326"/>
      <c r="AN25" s="327"/>
      <c r="AO25" s="327"/>
      <c r="AP25" s="327"/>
      <c r="AQ25" s="328"/>
      <c r="AR25" s="326"/>
      <c r="AS25" s="327"/>
      <c r="AT25" s="327"/>
      <c r="AU25" s="327"/>
      <c r="AV25" s="328"/>
      <c r="AW25" s="180"/>
      <c r="AX25" s="180"/>
      <c r="AY25" s="180"/>
      <c r="AZ25" s="180"/>
      <c r="BA25" s="180"/>
    </row>
    <row r="26" spans="2:53" ht="26" customHeight="1" thickTop="1" thickBot="1" x14ac:dyDescent="0.5">
      <c r="B26" s="321" t="s">
        <v>68</v>
      </c>
      <c r="C26" s="31">
        <v>7</v>
      </c>
      <c r="D26" s="32"/>
      <c r="E26" s="31">
        <v>15</v>
      </c>
      <c r="F26" s="32"/>
      <c r="G26" s="31">
        <v>23</v>
      </c>
      <c r="H26" s="32"/>
      <c r="I26" s="31">
        <v>31</v>
      </c>
      <c r="J26" s="32"/>
      <c r="K26" s="31">
        <v>39</v>
      </c>
      <c r="L26" s="32"/>
      <c r="M26" s="31">
        <v>47</v>
      </c>
      <c r="N26" s="32"/>
      <c r="O26" s="31">
        <v>55</v>
      </c>
      <c r="P26" s="32"/>
      <c r="Q26" s="36">
        <v>63</v>
      </c>
      <c r="R26" s="37"/>
      <c r="S26" s="75">
        <v>71</v>
      </c>
      <c r="T26" s="89"/>
      <c r="U26" s="75">
        <v>79</v>
      </c>
      <c r="V26" s="76"/>
      <c r="W26" s="75">
        <v>87</v>
      </c>
      <c r="X26" s="76"/>
      <c r="Y26" s="75">
        <v>95</v>
      </c>
      <c r="Z26" s="76"/>
      <c r="AA26" s="30"/>
      <c r="AB26" s="30"/>
      <c r="AC26" s="30"/>
      <c r="AD26" s="30"/>
      <c r="AE26" s="30"/>
      <c r="AF26" s="30"/>
      <c r="AG26" s="180"/>
      <c r="AH26" s="329"/>
      <c r="AI26" s="330"/>
      <c r="AJ26" s="330"/>
      <c r="AK26" s="330"/>
      <c r="AL26" s="331"/>
      <c r="AM26" s="329"/>
      <c r="AN26" s="330"/>
      <c r="AO26" s="330"/>
      <c r="AP26" s="330"/>
      <c r="AQ26" s="331"/>
      <c r="AR26" s="329"/>
      <c r="AS26" s="330"/>
      <c r="AT26" s="330"/>
      <c r="AU26" s="330"/>
      <c r="AV26" s="331"/>
      <c r="AW26" s="180"/>
      <c r="AX26" s="180"/>
      <c r="AY26" s="180"/>
      <c r="AZ26" s="180"/>
      <c r="BA26" s="180"/>
    </row>
    <row r="27" spans="2:53" ht="26" customHeight="1" thickBot="1" x14ac:dyDescent="0.5">
      <c r="B27" s="333"/>
      <c r="C27" s="91"/>
      <c r="D27" s="34"/>
      <c r="E27" s="91"/>
      <c r="F27" s="34"/>
      <c r="G27" s="91"/>
      <c r="H27" s="34"/>
      <c r="I27" s="91"/>
      <c r="J27" s="34"/>
      <c r="K27" s="91"/>
      <c r="L27" s="34"/>
      <c r="M27" s="91"/>
      <c r="N27" s="34"/>
      <c r="O27" s="91"/>
      <c r="P27" s="34"/>
      <c r="Q27" s="92"/>
      <c r="R27" s="93"/>
      <c r="S27" s="94"/>
      <c r="T27" s="90"/>
      <c r="U27" s="94"/>
      <c r="V27" s="95"/>
      <c r="W27" s="94"/>
      <c r="X27" s="95"/>
      <c r="Y27" s="94"/>
      <c r="Z27" s="84"/>
      <c r="AA27" s="30"/>
      <c r="AB27" s="30"/>
      <c r="AC27" s="30"/>
      <c r="AD27" s="30"/>
      <c r="AE27" s="30"/>
      <c r="AF27" s="3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  <c r="AT27" s="180"/>
      <c r="AU27" s="180"/>
      <c r="AV27" s="180"/>
      <c r="AW27" s="180"/>
      <c r="AX27" s="180"/>
      <c r="AY27" s="180"/>
      <c r="AZ27" s="180"/>
      <c r="BA27" s="180"/>
    </row>
    <row r="28" spans="2:53" ht="16.5" thickTop="1" thickBot="1" x14ac:dyDescent="0.5"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</row>
    <row r="29" spans="2:53" ht="16" thickTop="1" x14ac:dyDescent="0.45">
      <c r="B29" s="299" t="s">
        <v>3</v>
      </c>
      <c r="C29" s="300"/>
      <c r="D29" s="300"/>
      <c r="E29" s="300"/>
      <c r="F29" s="300"/>
      <c r="G29" s="300"/>
      <c r="H29" s="300"/>
      <c r="I29" s="300"/>
      <c r="J29" s="300"/>
      <c r="K29" s="300"/>
      <c r="L29" s="300"/>
      <c r="M29" s="300"/>
      <c r="N29" s="300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1"/>
      <c r="AA29" s="30"/>
      <c r="AB29" s="30"/>
      <c r="AC29" s="299" t="s">
        <v>5</v>
      </c>
      <c r="AD29" s="300"/>
      <c r="AE29" s="300"/>
      <c r="AF29" s="300"/>
      <c r="AG29" s="300"/>
      <c r="AH29" s="300"/>
      <c r="AI29" s="300"/>
      <c r="AJ29" s="300"/>
      <c r="AK29" s="300"/>
      <c r="AL29" s="300"/>
      <c r="AM29" s="300"/>
      <c r="AN29" s="300"/>
      <c r="AO29" s="300"/>
      <c r="AP29" s="300"/>
      <c r="AQ29" s="300"/>
      <c r="AR29" s="300"/>
      <c r="AS29" s="300"/>
      <c r="AT29" s="300"/>
      <c r="AU29" s="300"/>
      <c r="AV29" s="300"/>
      <c r="AW29" s="300"/>
      <c r="AX29" s="300"/>
      <c r="AY29" s="300"/>
      <c r="AZ29" s="300"/>
      <c r="BA29" s="301"/>
    </row>
    <row r="30" spans="2:53" ht="15.5" x14ac:dyDescent="0.45">
      <c r="B30" s="302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  <c r="W30" s="303"/>
      <c r="X30" s="303"/>
      <c r="Y30" s="303"/>
      <c r="Z30" s="304"/>
      <c r="AA30" s="30"/>
      <c r="AB30" s="30"/>
      <c r="AC30" s="302"/>
      <c r="AD30" s="303"/>
      <c r="AE30" s="303"/>
      <c r="AF30" s="303"/>
      <c r="AG30" s="303"/>
      <c r="AH30" s="303"/>
      <c r="AI30" s="303"/>
      <c r="AJ30" s="303"/>
      <c r="AK30" s="303"/>
      <c r="AL30" s="303"/>
      <c r="AM30" s="303"/>
      <c r="AN30" s="303"/>
      <c r="AO30" s="303"/>
      <c r="AP30" s="303"/>
      <c r="AQ30" s="303"/>
      <c r="AR30" s="303"/>
      <c r="AS30" s="303"/>
      <c r="AT30" s="303"/>
      <c r="AU30" s="303"/>
      <c r="AV30" s="303"/>
      <c r="AW30" s="303"/>
      <c r="AX30" s="303"/>
      <c r="AY30" s="303"/>
      <c r="AZ30" s="303"/>
      <c r="BA30" s="304"/>
    </row>
    <row r="31" spans="2:53" ht="25.5" thickBot="1" x14ac:dyDescent="0.5">
      <c r="B31" s="116"/>
      <c r="C31" s="311">
        <v>1</v>
      </c>
      <c r="D31" s="311"/>
      <c r="E31" s="311">
        <v>2</v>
      </c>
      <c r="F31" s="311"/>
      <c r="G31" s="311">
        <v>3</v>
      </c>
      <c r="H31" s="311"/>
      <c r="I31" s="311">
        <v>4</v>
      </c>
      <c r="J31" s="311"/>
      <c r="K31" s="311">
        <v>5</v>
      </c>
      <c r="L31" s="311"/>
      <c r="M31" s="311">
        <v>6</v>
      </c>
      <c r="N31" s="311"/>
      <c r="O31" s="311">
        <v>7</v>
      </c>
      <c r="P31" s="311"/>
      <c r="Q31" s="311">
        <v>8</v>
      </c>
      <c r="R31" s="311"/>
      <c r="S31" s="311">
        <v>9</v>
      </c>
      <c r="T31" s="311"/>
      <c r="U31" s="311">
        <v>10</v>
      </c>
      <c r="V31" s="311"/>
      <c r="W31" s="311">
        <v>11</v>
      </c>
      <c r="X31" s="311"/>
      <c r="Y31" s="311">
        <v>12</v>
      </c>
      <c r="Z31" s="332"/>
      <c r="AA31" s="30"/>
      <c r="AB31" s="30"/>
      <c r="AC31" s="116"/>
      <c r="AD31" s="311">
        <v>1</v>
      </c>
      <c r="AE31" s="311"/>
      <c r="AF31" s="311">
        <v>2</v>
      </c>
      <c r="AG31" s="311"/>
      <c r="AH31" s="311">
        <v>3</v>
      </c>
      <c r="AI31" s="311"/>
      <c r="AJ31" s="311">
        <v>4</v>
      </c>
      <c r="AK31" s="311"/>
      <c r="AL31" s="311">
        <v>5</v>
      </c>
      <c r="AM31" s="311"/>
      <c r="AN31" s="311">
        <v>6</v>
      </c>
      <c r="AO31" s="311"/>
      <c r="AP31" s="311">
        <v>7</v>
      </c>
      <c r="AQ31" s="311"/>
      <c r="AR31" s="311">
        <v>8</v>
      </c>
      <c r="AS31" s="311"/>
      <c r="AT31" s="311">
        <v>9</v>
      </c>
      <c r="AU31" s="311"/>
      <c r="AV31" s="311">
        <v>10</v>
      </c>
      <c r="AW31" s="311"/>
      <c r="AX31" s="311">
        <v>11</v>
      </c>
      <c r="AY31" s="311"/>
      <c r="AZ31" s="311">
        <v>12</v>
      </c>
      <c r="BA31" s="332"/>
    </row>
    <row r="32" spans="2:53" ht="26" customHeight="1" thickTop="1" thickBot="1" x14ac:dyDescent="0.5">
      <c r="B32" s="321" t="s">
        <v>58</v>
      </c>
      <c r="C32" s="118">
        <v>0</v>
      </c>
      <c r="D32" s="119"/>
      <c r="E32" s="205">
        <v>8</v>
      </c>
      <c r="F32" s="206"/>
      <c r="G32" s="122">
        <v>16</v>
      </c>
      <c r="H32" s="123"/>
      <c r="I32" s="126">
        <v>24</v>
      </c>
      <c r="J32" s="127"/>
      <c r="K32" s="126">
        <v>32</v>
      </c>
      <c r="L32" s="127"/>
      <c r="M32" s="31">
        <v>40</v>
      </c>
      <c r="N32" s="32"/>
      <c r="O32" s="31">
        <v>48</v>
      </c>
      <c r="P32" s="32"/>
      <c r="Q32" s="31">
        <v>56</v>
      </c>
      <c r="R32" s="32"/>
      <c r="S32" s="31">
        <v>64</v>
      </c>
      <c r="T32" s="32"/>
      <c r="U32" s="31">
        <v>72</v>
      </c>
      <c r="V32" s="32"/>
      <c r="W32" s="31">
        <v>80</v>
      </c>
      <c r="X32" s="32"/>
      <c r="Y32" s="31">
        <v>88</v>
      </c>
      <c r="Z32" s="96"/>
      <c r="AA32" s="30"/>
      <c r="AB32" s="30"/>
      <c r="AC32" s="321" t="s">
        <v>58</v>
      </c>
      <c r="AD32" s="31">
        <v>0</v>
      </c>
      <c r="AE32" s="32"/>
      <c r="AF32" s="31">
        <v>8</v>
      </c>
      <c r="AG32" s="32"/>
      <c r="AH32" s="31">
        <v>16</v>
      </c>
      <c r="AI32" s="32"/>
      <c r="AJ32" s="31">
        <v>24</v>
      </c>
      <c r="AK32" s="32"/>
      <c r="AL32" s="31">
        <v>32</v>
      </c>
      <c r="AM32" s="32"/>
      <c r="AN32" s="31">
        <v>40</v>
      </c>
      <c r="AO32" s="32"/>
      <c r="AP32" s="31">
        <v>48</v>
      </c>
      <c r="AQ32" s="32"/>
      <c r="AR32" s="31">
        <v>56</v>
      </c>
      <c r="AS32" s="32"/>
      <c r="AT32" s="31">
        <v>64</v>
      </c>
      <c r="AU32" s="32"/>
      <c r="AV32" s="31">
        <v>72</v>
      </c>
      <c r="AW32" s="32"/>
      <c r="AX32" s="31">
        <v>80</v>
      </c>
      <c r="AY32" s="32"/>
      <c r="AZ32" s="31">
        <v>88</v>
      </c>
      <c r="BA32" s="32"/>
    </row>
    <row r="33" spans="2:53" ht="25.5" thickBot="1" x14ac:dyDescent="0.5">
      <c r="B33" s="321"/>
      <c r="C33" s="120"/>
      <c r="D33" s="121" t="s">
        <v>73</v>
      </c>
      <c r="E33" s="207"/>
      <c r="F33" s="208" t="str">
        <f>IF(Controler!$J$8&gt;=8,"P8"," ")</f>
        <v>P8</v>
      </c>
      <c r="G33" s="124"/>
      <c r="H33" s="125" t="str">
        <f>IF(Controler!$J$8&gt;=16,"P16"," ")</f>
        <v xml:space="preserve"> </v>
      </c>
      <c r="I33" s="128"/>
      <c r="J33" s="129"/>
      <c r="K33" s="128"/>
      <c r="L33" s="129"/>
      <c r="M33" s="33"/>
      <c r="N33" s="34"/>
      <c r="O33" s="35"/>
      <c r="P33" s="34"/>
      <c r="Q33" s="35"/>
      <c r="R33" s="34"/>
      <c r="S33" s="35"/>
      <c r="T33" s="34"/>
      <c r="U33" s="35"/>
      <c r="V33" s="34"/>
      <c r="W33" s="35"/>
      <c r="X33" s="34"/>
      <c r="Y33" s="35"/>
      <c r="Z33" s="97"/>
      <c r="AA33" s="30"/>
      <c r="AB33" s="30"/>
      <c r="AC33" s="321"/>
      <c r="AD33" s="33"/>
      <c r="AE33" s="34" t="str">
        <f>IF(Controler!$J$8&gt;=1,"1"," ")</f>
        <v>1</v>
      </c>
      <c r="AF33" s="33"/>
      <c r="AG33" s="34" t="str">
        <f>IF(Controler!$J$8&gt;=1,"1"," ")</f>
        <v>1</v>
      </c>
      <c r="AH33" s="33"/>
      <c r="AI33" s="34" t="str">
        <f>IF(Controler!$J$8&gt;=2,"2"," ")</f>
        <v>2</v>
      </c>
      <c r="AJ33" s="33"/>
      <c r="AK33" s="34" t="str">
        <f>IF(Controler!$J$8&gt;=3,"3"," ")</f>
        <v>3</v>
      </c>
      <c r="AL33" s="33"/>
      <c r="AM33" s="34" t="str">
        <f>IF(Controler!$J$8&gt;=4,"4"," ")</f>
        <v>4</v>
      </c>
      <c r="AN33" s="33"/>
      <c r="AO33" s="34" t="str" cm="1">
        <f t="array" ref="AO33">_xlfn.IFS(Controler!$J$8&gt;4,"5",Controler!$J$8=4,"Sample",Controler!$J$8&lt;4,"")</f>
        <v>5</v>
      </c>
      <c r="AP33" s="33"/>
      <c r="AQ33" s="34" t="str">
        <f>IF(Controler!$J$8&gt;=5,"5"," ")</f>
        <v>5</v>
      </c>
      <c r="AR33" s="33"/>
      <c r="AS33" s="34" t="str">
        <f>IF(Controler!$J$8&gt;=6,"6"," ")</f>
        <v>6</v>
      </c>
      <c r="AT33" s="33"/>
      <c r="AU33" s="34" t="str">
        <f>IF(Controler!$J$8&gt;=7,"7"," ")</f>
        <v>7</v>
      </c>
      <c r="AV33" s="33"/>
      <c r="AW33" s="34" t="str">
        <f>IF(Controler!$J$8&gt;=8,"8"," ")</f>
        <v>8</v>
      </c>
      <c r="AX33" s="33"/>
      <c r="AY33" s="34" t="str" cm="1">
        <f t="array" ref="AY33">_xlfn.IFS(Controler!$J$8&gt;8,"9",Controler!$J$8=8,"Sample",Controler!$J$8&lt;8,"")</f>
        <v>9</v>
      </c>
      <c r="AZ33" s="33"/>
      <c r="BA33" s="34" t="str">
        <f>IF(Controler!$J$8&gt;=9,"9"," ")</f>
        <v>9</v>
      </c>
    </row>
    <row r="34" spans="2:53" ht="26" thickTop="1" thickBot="1" x14ac:dyDescent="0.5">
      <c r="B34" s="321" t="s">
        <v>66</v>
      </c>
      <c r="C34" s="122">
        <v>1</v>
      </c>
      <c r="D34" s="123"/>
      <c r="E34" s="209">
        <v>9</v>
      </c>
      <c r="F34" s="210"/>
      <c r="G34" s="122">
        <v>17</v>
      </c>
      <c r="H34" s="123"/>
      <c r="I34" s="126">
        <v>25</v>
      </c>
      <c r="J34" s="127"/>
      <c r="K34" s="126">
        <v>33</v>
      </c>
      <c r="L34" s="127"/>
      <c r="M34" s="36">
        <v>41</v>
      </c>
      <c r="N34" s="37"/>
      <c r="O34" s="36">
        <v>49</v>
      </c>
      <c r="P34" s="37"/>
      <c r="Q34" s="36">
        <v>57</v>
      </c>
      <c r="R34" s="37"/>
      <c r="S34" s="36">
        <v>65</v>
      </c>
      <c r="T34" s="37"/>
      <c r="U34" s="36">
        <v>73</v>
      </c>
      <c r="V34" s="37"/>
      <c r="W34" s="36">
        <v>81</v>
      </c>
      <c r="X34" s="37"/>
      <c r="Y34" s="36">
        <v>89</v>
      </c>
      <c r="Z34" s="98"/>
      <c r="AA34" s="30"/>
      <c r="AB34" s="30"/>
      <c r="AC34" s="321" t="s">
        <v>66</v>
      </c>
      <c r="AD34" s="31">
        <v>1</v>
      </c>
      <c r="AE34" s="32"/>
      <c r="AF34" s="31">
        <v>9</v>
      </c>
      <c r="AG34" s="32"/>
      <c r="AH34" s="31">
        <v>17</v>
      </c>
      <c r="AI34" s="32"/>
      <c r="AJ34" s="31">
        <v>25</v>
      </c>
      <c r="AK34" s="32"/>
      <c r="AL34" s="31">
        <v>33</v>
      </c>
      <c r="AM34" s="32"/>
      <c r="AN34" s="31">
        <v>41</v>
      </c>
      <c r="AO34" s="32"/>
      <c r="AP34" s="31">
        <v>49</v>
      </c>
      <c r="AQ34" s="32"/>
      <c r="AR34" s="31">
        <v>57</v>
      </c>
      <c r="AS34" s="32"/>
      <c r="AT34" s="31">
        <v>65</v>
      </c>
      <c r="AU34" s="32"/>
      <c r="AV34" s="31">
        <v>73</v>
      </c>
      <c r="AW34" s="32"/>
      <c r="AX34" s="31">
        <v>81</v>
      </c>
      <c r="AY34" s="32"/>
      <c r="AZ34" s="31">
        <v>89</v>
      </c>
      <c r="BA34" s="32"/>
    </row>
    <row r="35" spans="2:53" ht="25.5" thickBot="1" x14ac:dyDescent="0.5">
      <c r="B35" s="321"/>
      <c r="C35" s="124"/>
      <c r="D35" s="211" t="str">
        <f>IF(Controler!$J$8&gt;=1,"P1"," ")</f>
        <v>P1</v>
      </c>
      <c r="E35" s="124"/>
      <c r="F35" s="125" t="str">
        <f>IF(Controler!$J$8&gt;=9,"P9"," ")</f>
        <v>P9</v>
      </c>
      <c r="G35" s="124"/>
      <c r="H35" s="125" t="str">
        <f>IF(Controler!$J$8&gt;=17,"P17"," ")</f>
        <v xml:space="preserve"> </v>
      </c>
      <c r="I35" s="128"/>
      <c r="J35" s="129"/>
      <c r="K35" s="128"/>
      <c r="L35" s="129"/>
      <c r="M35" s="38"/>
      <c r="N35" s="39"/>
      <c r="O35" s="38"/>
      <c r="P35" s="39"/>
      <c r="Q35" s="38"/>
      <c r="R35" s="39"/>
      <c r="S35" s="38"/>
      <c r="T35" s="39"/>
      <c r="U35" s="38"/>
      <c r="V35" s="39"/>
      <c r="W35" s="38"/>
      <c r="X35" s="39"/>
      <c r="Y35" s="38"/>
      <c r="Z35" s="99"/>
      <c r="AA35" s="30"/>
      <c r="AB35" s="30"/>
      <c r="AC35" s="321"/>
      <c r="AD35" s="33"/>
      <c r="AE35" s="243" t="str" cm="1">
        <f t="array" ref="AE35">_xlfn.IFS(Controler!$J$8&gt;1,"2",Controler!$J$8=1,"Sample")</f>
        <v>2</v>
      </c>
      <c r="AF35" s="33"/>
      <c r="AG35" s="34" t="str">
        <f>IF(Controler!$J$8&gt;=1,"1"," ")</f>
        <v>1</v>
      </c>
      <c r="AH35" s="33"/>
      <c r="AI35" s="34" t="str">
        <f>IF(Controler!$J$8&gt;=2,"2"," ")</f>
        <v>2</v>
      </c>
      <c r="AJ35" s="33"/>
      <c r="AK35" s="34" t="str">
        <f>IF(Controler!$J$8&gt;=3,"3"," ")</f>
        <v>3</v>
      </c>
      <c r="AL35" s="33"/>
      <c r="AM35" s="34" t="str">
        <f>IF(Controler!$J$8&gt;=4,"4"," ")</f>
        <v>4</v>
      </c>
      <c r="AN35" s="33"/>
      <c r="AO35" s="34" t="str" cm="1">
        <f t="array" ref="AO35">_xlfn.IFS(Controler!$J$8&gt;5,"6",Controler!$J$8=5,"Sample",Controler!$J$8&lt;5,"")</f>
        <v>6</v>
      </c>
      <c r="AP35" s="33"/>
      <c r="AQ35" s="34" t="str">
        <f>IF(Controler!$J$8&gt;=5,"5"," ")</f>
        <v>5</v>
      </c>
      <c r="AR35" s="33"/>
      <c r="AS35" s="34" t="str">
        <f>IF(Controler!$J$8&gt;=6,"6"," ")</f>
        <v>6</v>
      </c>
      <c r="AT35" s="33"/>
      <c r="AU35" s="34" t="str">
        <f>IF(Controler!$J$8&gt;=7,"7"," ")</f>
        <v>7</v>
      </c>
      <c r="AV35" s="33"/>
      <c r="AW35" s="34" t="str">
        <f>IF(Controler!$J$8&gt;=7,"8"," ")</f>
        <v>8</v>
      </c>
      <c r="AX35" s="33"/>
      <c r="AY35" s="34" t="str" cm="1">
        <f t="array" ref="AY35">_xlfn.IFS(Controler!$J$8&gt;9,"10",Controler!$J$8=9,"Sample",Controler!$J$8&lt;9,"")</f>
        <v>10</v>
      </c>
      <c r="AZ35" s="33"/>
      <c r="BA35" s="34" t="str">
        <f>IF(Controler!$J$8&gt;=9,"9"," ")</f>
        <v>9</v>
      </c>
    </row>
    <row r="36" spans="2:53" ht="26" thickTop="1" thickBot="1" x14ac:dyDescent="0.5">
      <c r="B36" s="321" t="s">
        <v>63</v>
      </c>
      <c r="C36" s="181">
        <v>2</v>
      </c>
      <c r="D36" s="182"/>
      <c r="E36" s="122">
        <v>10</v>
      </c>
      <c r="F36" s="123"/>
      <c r="G36" s="122">
        <v>18</v>
      </c>
      <c r="H36" s="123"/>
      <c r="I36" s="126">
        <v>26</v>
      </c>
      <c r="J36" s="127"/>
      <c r="K36" s="126">
        <v>34</v>
      </c>
      <c r="L36" s="127"/>
      <c r="M36" s="36">
        <v>42</v>
      </c>
      <c r="N36" s="37"/>
      <c r="O36" s="36">
        <v>50</v>
      </c>
      <c r="P36" s="37"/>
      <c r="Q36" s="36">
        <v>58</v>
      </c>
      <c r="R36" s="37"/>
      <c r="S36" s="36">
        <v>66</v>
      </c>
      <c r="T36" s="37"/>
      <c r="U36" s="36">
        <v>74</v>
      </c>
      <c r="V36" s="37"/>
      <c r="W36" s="36">
        <v>82</v>
      </c>
      <c r="X36" s="37"/>
      <c r="Y36" s="36">
        <v>90</v>
      </c>
      <c r="Z36" s="98"/>
      <c r="AA36" s="30"/>
      <c r="AB36" s="30"/>
      <c r="AC36" s="321" t="s">
        <v>63</v>
      </c>
      <c r="AD36" s="31">
        <v>2</v>
      </c>
      <c r="AE36" s="32"/>
      <c r="AF36" s="31">
        <v>10</v>
      </c>
      <c r="AG36" s="32"/>
      <c r="AH36" s="31">
        <v>18</v>
      </c>
      <c r="AI36" s="32"/>
      <c r="AJ36" s="31">
        <v>26</v>
      </c>
      <c r="AK36" s="32"/>
      <c r="AL36" s="31">
        <v>34</v>
      </c>
      <c r="AM36" s="32"/>
      <c r="AN36" s="31">
        <v>42</v>
      </c>
      <c r="AO36" s="32"/>
      <c r="AP36" s="31">
        <v>50</v>
      </c>
      <c r="AQ36" s="32"/>
      <c r="AR36" s="31">
        <v>58</v>
      </c>
      <c r="AS36" s="32"/>
      <c r="AT36" s="31">
        <v>66</v>
      </c>
      <c r="AU36" s="32"/>
      <c r="AV36" s="31">
        <v>74</v>
      </c>
      <c r="AW36" s="32"/>
      <c r="AX36" s="31">
        <v>82</v>
      </c>
      <c r="AY36" s="32"/>
      <c r="AZ36" s="31">
        <v>90</v>
      </c>
      <c r="BA36" s="32"/>
    </row>
    <row r="37" spans="2:53" ht="25.5" thickBot="1" x14ac:dyDescent="0.5">
      <c r="B37" s="321"/>
      <c r="C37" s="183"/>
      <c r="D37" s="184" t="str">
        <f>IF(Controler!$J$8&gt;=2,"P2"," ")</f>
        <v>P2</v>
      </c>
      <c r="E37" s="124"/>
      <c r="F37" s="125" t="str">
        <f>IF(Controler!$J$8&gt;=10,"P10"," ")</f>
        <v>P10</v>
      </c>
      <c r="G37" s="124"/>
      <c r="H37" s="125" t="str">
        <f>IF(Controler!$J$8&gt;=18,"P18"," ")</f>
        <v xml:space="preserve"> </v>
      </c>
      <c r="I37" s="128"/>
      <c r="J37" s="129"/>
      <c r="K37" s="128"/>
      <c r="L37" s="129"/>
      <c r="M37" s="38"/>
      <c r="N37" s="39"/>
      <c r="O37" s="38"/>
      <c r="P37" s="39"/>
      <c r="Q37" s="38"/>
      <c r="R37" s="39"/>
      <c r="S37" s="38"/>
      <c r="T37" s="39"/>
      <c r="U37" s="38"/>
      <c r="V37" s="39"/>
      <c r="W37" s="38"/>
      <c r="X37" s="39"/>
      <c r="Y37" s="38"/>
      <c r="Z37" s="99"/>
      <c r="AA37" s="30"/>
      <c r="AB37" s="30"/>
      <c r="AC37" s="321"/>
      <c r="AD37" s="33"/>
      <c r="AE37" s="34" t="str" cm="1">
        <f t="array" ref="AE37">_xlfn.IFS(Controler!$J$8&gt;AD36,"3",Controler!$J$8=AD36,"Sample",Controler!$J$8&lt;AD36,"")</f>
        <v>3</v>
      </c>
      <c r="AF37" s="33"/>
      <c r="AG37" s="34" t="str">
        <f>IF(Controler!$J$8&gt;=1,"1"," ")</f>
        <v>1</v>
      </c>
      <c r="AH37" s="33"/>
      <c r="AI37" s="34" t="str">
        <f>IF(Controler!$J$8&gt;=2,"2"," ")</f>
        <v>2</v>
      </c>
      <c r="AJ37" s="33"/>
      <c r="AK37" s="34" t="str">
        <f>IF(Controler!$J$8&gt;=3,"3"," ")</f>
        <v>3</v>
      </c>
      <c r="AL37" s="33"/>
      <c r="AM37" s="34" t="str">
        <f>IF(Controler!$J$8&gt;=4,"4"," ")</f>
        <v>4</v>
      </c>
      <c r="AN37" s="33"/>
      <c r="AO37" s="34" t="str" cm="1">
        <f t="array" ref="AO37">_xlfn.IFS(Controler!$J$8&gt;6,"7",Controler!$J$8=6,"Sample",Controler!$J$8&lt;6,"")</f>
        <v>7</v>
      </c>
      <c r="AP37" s="33"/>
      <c r="AQ37" s="34" t="str">
        <f>IF(Controler!$J$8&gt;=5,"5"," ")</f>
        <v>5</v>
      </c>
      <c r="AR37" s="33"/>
      <c r="AS37" s="34" t="str">
        <f>IF(Controler!$J$8&gt;=6,"6"," ")</f>
        <v>6</v>
      </c>
      <c r="AT37" s="33"/>
      <c r="AU37" s="34" t="str">
        <f>IF(Controler!$J$8&gt;=7,"7"," ")</f>
        <v>7</v>
      </c>
      <c r="AV37" s="33"/>
      <c r="AW37" s="34" t="str">
        <f>IF(Controler!$J$8&gt;=7,"8"," ")</f>
        <v>8</v>
      </c>
      <c r="AX37" s="33"/>
      <c r="AY37" s="34" t="str" cm="1">
        <f t="array" ref="AY37">_xlfn.IFS(Controler!$J$8&gt;10,"11",Controler!$J$8=10,"Sample",Controler!$J$8&lt;10,"")</f>
        <v>11</v>
      </c>
      <c r="AZ37" s="33"/>
      <c r="BA37" s="34" t="str">
        <f>IF(Controler!$J$8&gt;=9,"9"," ")</f>
        <v>9</v>
      </c>
    </row>
    <row r="38" spans="2:53" ht="26" thickTop="1" thickBot="1" x14ac:dyDescent="0.5">
      <c r="B38" s="321" t="s">
        <v>61</v>
      </c>
      <c r="C38" s="185">
        <v>3</v>
      </c>
      <c r="D38" s="186"/>
      <c r="E38" s="122">
        <v>11</v>
      </c>
      <c r="F38" s="123"/>
      <c r="G38" s="122">
        <v>19</v>
      </c>
      <c r="H38" s="123"/>
      <c r="I38" s="126">
        <v>27</v>
      </c>
      <c r="J38" s="127"/>
      <c r="K38" s="126">
        <v>35</v>
      </c>
      <c r="L38" s="127"/>
      <c r="M38" s="36">
        <v>43</v>
      </c>
      <c r="N38" s="37"/>
      <c r="O38" s="36">
        <v>51</v>
      </c>
      <c r="P38" s="37"/>
      <c r="Q38" s="36">
        <v>59</v>
      </c>
      <c r="R38" s="37"/>
      <c r="S38" s="36">
        <v>67</v>
      </c>
      <c r="T38" s="37"/>
      <c r="U38" s="36">
        <v>75</v>
      </c>
      <c r="V38" s="37"/>
      <c r="W38" s="36">
        <v>83</v>
      </c>
      <c r="X38" s="37"/>
      <c r="Y38" s="36">
        <v>91</v>
      </c>
      <c r="Z38" s="98"/>
      <c r="AA38" s="30"/>
      <c r="AB38" s="30"/>
      <c r="AC38" s="321" t="s">
        <v>61</v>
      </c>
      <c r="AD38" s="31">
        <v>3</v>
      </c>
      <c r="AE38" s="32"/>
      <c r="AF38" s="31">
        <v>11</v>
      </c>
      <c r="AG38" s="32"/>
      <c r="AH38" s="31">
        <v>19</v>
      </c>
      <c r="AI38" s="32"/>
      <c r="AJ38" s="31">
        <v>27</v>
      </c>
      <c r="AK38" s="32"/>
      <c r="AL38" s="31">
        <v>35</v>
      </c>
      <c r="AM38" s="32"/>
      <c r="AN38" s="31">
        <v>43</v>
      </c>
      <c r="AO38" s="32"/>
      <c r="AP38" s="31">
        <v>51</v>
      </c>
      <c r="AQ38" s="32"/>
      <c r="AR38" s="31">
        <v>59</v>
      </c>
      <c r="AS38" s="32"/>
      <c r="AT38" s="31">
        <v>67</v>
      </c>
      <c r="AU38" s="32"/>
      <c r="AV38" s="31">
        <v>75</v>
      </c>
      <c r="AW38" s="32"/>
      <c r="AX38" s="31">
        <v>83</v>
      </c>
      <c r="AY38" s="32"/>
      <c r="AZ38" s="31">
        <v>91</v>
      </c>
      <c r="BA38" s="32"/>
    </row>
    <row r="39" spans="2:53" ht="25.5" thickBot="1" x14ac:dyDescent="0.5">
      <c r="B39" s="321"/>
      <c r="C39" s="187"/>
      <c r="D39" s="188" t="str">
        <f>IF(Controler!$J$8&gt;=3,"P3"," ")</f>
        <v>P3</v>
      </c>
      <c r="E39" s="124"/>
      <c r="F39" s="125" t="str">
        <f>IF(Controler!$J$8&gt;=11,"P11"," ")</f>
        <v>P11</v>
      </c>
      <c r="G39" s="124"/>
      <c r="H39" s="125" t="str">
        <f>IF(Controler!$J$8&gt;=19,"P19"," ")</f>
        <v xml:space="preserve"> </v>
      </c>
      <c r="I39" s="128"/>
      <c r="J39" s="129"/>
      <c r="K39" s="128"/>
      <c r="L39" s="129"/>
      <c r="M39" s="38"/>
      <c r="N39" s="39"/>
      <c r="O39" s="38"/>
      <c r="P39" s="39"/>
      <c r="Q39" s="38"/>
      <c r="R39" s="39"/>
      <c r="S39" s="38"/>
      <c r="T39" s="39"/>
      <c r="U39" s="38"/>
      <c r="V39" s="39"/>
      <c r="W39" s="38"/>
      <c r="X39" s="39"/>
      <c r="Y39" s="38"/>
      <c r="Z39" s="99"/>
      <c r="AA39" s="30"/>
      <c r="AB39" s="30"/>
      <c r="AC39" s="321"/>
      <c r="AD39" s="33"/>
      <c r="AE39" s="34" t="str" cm="1">
        <f t="array" ref="AE39">_xlfn.IFS(Controler!$J$8&gt;AD38,"4",Controler!$J$8=AD38,"Sample",Controler!$J$8&lt;AD38,"")</f>
        <v>4</v>
      </c>
      <c r="AF39" s="33"/>
      <c r="AG39" s="34" t="str">
        <f>IF(Controler!$J$8&gt;=1,"1"," ")</f>
        <v>1</v>
      </c>
      <c r="AH39" s="33"/>
      <c r="AI39" s="34" t="str">
        <f>IF(Controler!$J$8&gt;=2,"2"," ")</f>
        <v>2</v>
      </c>
      <c r="AJ39" s="33"/>
      <c r="AK39" s="34" t="str">
        <f>IF(Controler!$J$8&gt;=3,"3"," ")</f>
        <v>3</v>
      </c>
      <c r="AL39" s="33"/>
      <c r="AM39" s="34" t="str">
        <f>IF(Controler!$J$8&gt;=4,"4"," ")</f>
        <v>4</v>
      </c>
      <c r="AN39" s="33"/>
      <c r="AO39" s="34" t="str" cm="1">
        <f t="array" ref="AO39">_xlfn.IFS(Controler!$J$8&gt;7,"8",Controler!$J$8=7,"Sample",Controler!$J$8&lt;7,"")</f>
        <v>8</v>
      </c>
      <c r="AP39" s="33"/>
      <c r="AQ39" s="34" t="str">
        <f>IF(Controler!$J$8&gt;=5,"5"," ")</f>
        <v>5</v>
      </c>
      <c r="AR39" s="33"/>
      <c r="AS39" s="34" t="str">
        <f>IF(Controler!$J$8&gt;=6,"6"," ")</f>
        <v>6</v>
      </c>
      <c r="AT39" s="33"/>
      <c r="AU39" s="34" t="str">
        <f>IF(Controler!$J$8&gt;=7,"7"," ")</f>
        <v>7</v>
      </c>
      <c r="AV39" s="33"/>
      <c r="AW39" s="34" t="str">
        <f>IF(Controler!$J$8&gt;=7,"8"," ")</f>
        <v>8</v>
      </c>
      <c r="AX39" s="33"/>
      <c r="AY39" s="34" t="str" cm="1">
        <f t="array" ref="AY39">_xlfn.IFS(Controler!$J$8&gt;11,"12",Controler!$J$8=11,"Sample",Controler!$J$8&lt;11,"")</f>
        <v>12</v>
      </c>
      <c r="AZ39" s="33"/>
      <c r="BA39" s="34" t="str">
        <f>IF(Controler!$J$8&gt;=9,"9"," ")</f>
        <v>9</v>
      </c>
    </row>
    <row r="40" spans="2:53" ht="26" thickTop="1" thickBot="1" x14ac:dyDescent="0.5">
      <c r="B40" s="321" t="s">
        <v>59</v>
      </c>
      <c r="C40" s="189">
        <v>4</v>
      </c>
      <c r="D40" s="190"/>
      <c r="E40" s="122">
        <v>12</v>
      </c>
      <c r="F40" s="123"/>
      <c r="G40" s="122">
        <v>20</v>
      </c>
      <c r="H40" s="123"/>
      <c r="I40" s="126">
        <v>28</v>
      </c>
      <c r="J40" s="127"/>
      <c r="K40" s="126">
        <v>36</v>
      </c>
      <c r="L40" s="127"/>
      <c r="M40" s="36">
        <v>44</v>
      </c>
      <c r="N40" s="37"/>
      <c r="O40" s="40">
        <v>52</v>
      </c>
      <c r="P40" s="117"/>
      <c r="Q40" s="42">
        <v>60</v>
      </c>
      <c r="R40" s="43"/>
      <c r="S40" s="44">
        <v>68</v>
      </c>
      <c r="T40" s="45"/>
      <c r="U40" s="46">
        <v>76</v>
      </c>
      <c r="V40" s="47"/>
      <c r="W40" s="48">
        <v>84</v>
      </c>
      <c r="X40" s="49"/>
      <c r="Y40" s="50">
        <v>92</v>
      </c>
      <c r="Z40" s="100"/>
      <c r="AA40" s="30"/>
      <c r="AB40" s="30"/>
      <c r="AC40" s="321" t="s">
        <v>59</v>
      </c>
      <c r="AD40" s="31">
        <v>4</v>
      </c>
      <c r="AE40" s="32"/>
      <c r="AF40" s="31">
        <v>12</v>
      </c>
      <c r="AG40" s="32"/>
      <c r="AH40" s="31">
        <v>20</v>
      </c>
      <c r="AI40" s="32"/>
      <c r="AJ40" s="31">
        <v>28</v>
      </c>
      <c r="AK40" s="32"/>
      <c r="AL40" s="31">
        <v>36</v>
      </c>
      <c r="AM40" s="32"/>
      <c r="AN40" s="31">
        <v>44</v>
      </c>
      <c r="AO40" s="32"/>
      <c r="AP40" s="31">
        <v>52</v>
      </c>
      <c r="AQ40" s="32"/>
      <c r="AR40" s="31">
        <v>60</v>
      </c>
      <c r="AS40" s="32"/>
      <c r="AT40" s="31">
        <v>68</v>
      </c>
      <c r="AU40" s="32"/>
      <c r="AV40" s="31">
        <v>76</v>
      </c>
      <c r="AW40" s="32"/>
      <c r="AX40" s="31">
        <v>84</v>
      </c>
      <c r="AY40" s="32"/>
      <c r="AZ40" s="31">
        <v>92</v>
      </c>
      <c r="BA40" s="32"/>
    </row>
    <row r="41" spans="2:53" ht="25.5" thickBot="1" x14ac:dyDescent="0.5">
      <c r="B41" s="321"/>
      <c r="C41" s="191"/>
      <c r="D41" s="192" t="str">
        <f>IF(Controler!$J$8&gt;=4,"P4"," ")</f>
        <v>P4</v>
      </c>
      <c r="E41" s="124"/>
      <c r="F41" s="125" t="str">
        <f>IF(Controler!$J$8&gt;=12,"P12"," ")</f>
        <v>P12</v>
      </c>
      <c r="G41" s="124"/>
      <c r="H41" s="125"/>
      <c r="I41" s="128"/>
      <c r="J41" s="129"/>
      <c r="K41" s="128"/>
      <c r="L41" s="129"/>
      <c r="M41" s="38"/>
      <c r="N41" s="39"/>
      <c r="O41" s="52"/>
      <c r="P41" s="53" t="str">
        <f>References!$C$30</f>
        <v>W2</v>
      </c>
      <c r="Q41" s="54"/>
      <c r="R41" s="55" t="s">
        <v>58</v>
      </c>
      <c r="S41" s="56"/>
      <c r="T41" s="57" t="s">
        <v>59</v>
      </c>
      <c r="U41" s="58"/>
      <c r="V41" s="59" t="s">
        <v>60</v>
      </c>
      <c r="W41" s="60"/>
      <c r="X41" s="61" t="s">
        <v>61</v>
      </c>
      <c r="Y41" s="62"/>
      <c r="Z41" s="101" t="s">
        <v>62</v>
      </c>
      <c r="AA41" s="30"/>
      <c r="AB41" s="30"/>
      <c r="AC41" s="321"/>
      <c r="AD41" s="33"/>
      <c r="AE41" s="34" t="str">
        <f>IF(Controler!$J$8&gt;=10,"10"," ")</f>
        <v>10</v>
      </c>
      <c r="AF41" s="33"/>
      <c r="AG41" s="34" t="str">
        <f>IF(Controler!$J$8&gt;=11,"11"," ")</f>
        <v>11</v>
      </c>
      <c r="AH41" s="33"/>
      <c r="AI41" s="34" t="str">
        <f>IF(Controler!$J$8&gt;=12,"12"," ")</f>
        <v>12</v>
      </c>
      <c r="AJ41" s="33"/>
      <c r="AK41" s="34" t="str" cm="1">
        <f t="array" ref="AK41">_xlfn.IFS(Controler!$J$8&gt;12,"13",Controler!$J$8=12,"Sample",Controler!$J$8&lt;12,"")</f>
        <v>13</v>
      </c>
      <c r="AL41" s="33"/>
      <c r="AM41" s="34" t="str">
        <f>IF(Controler!$J$8&gt;=13,"13"," ")</f>
        <v>13</v>
      </c>
      <c r="AN41" s="33"/>
      <c r="AO41" s="34" t="str">
        <f>IF(Controler!$J$8&gt;=14,"14"," ")</f>
        <v xml:space="preserve"> </v>
      </c>
      <c r="AP41" s="33"/>
      <c r="AQ41" s="34">
        <v>15</v>
      </c>
      <c r="AR41" s="33"/>
      <c r="AS41" s="34" t="str">
        <f>IF(Controler!$J$8&gt;=16,"16"," ")</f>
        <v xml:space="preserve"> </v>
      </c>
      <c r="AT41" s="33"/>
      <c r="AU41" s="34" t="str" cm="1">
        <f t="array" ref="AU41">_xlfn.IFS(Controler!$J$8&gt;16,"17",Controler!$J$8=16,"Sample",Controler!$J$8&lt;16,"")</f>
        <v/>
      </c>
      <c r="AV41" s="33"/>
      <c r="AW41" s="34" t="str">
        <f>IF(Controler!$J$8&gt;=17,"17"," ")</f>
        <v xml:space="preserve"> </v>
      </c>
      <c r="AX41" s="33"/>
      <c r="AY41" s="34" t="str">
        <f>IF(Controler!$J$8&gt;=18,"18"," ")</f>
        <v xml:space="preserve"> </v>
      </c>
      <c r="AZ41" s="33"/>
      <c r="BA41" s="34" t="str">
        <f>IF(Controler!$J$8&gt;=19,"19"," ")</f>
        <v xml:space="preserve"> </v>
      </c>
    </row>
    <row r="42" spans="2:53" ht="26" thickTop="1" thickBot="1" x14ac:dyDescent="0.5">
      <c r="B42" s="321" t="s">
        <v>67</v>
      </c>
      <c r="C42" s="193">
        <v>5</v>
      </c>
      <c r="D42" s="194"/>
      <c r="E42" s="122">
        <v>13</v>
      </c>
      <c r="F42" s="123"/>
      <c r="G42" s="122">
        <v>21</v>
      </c>
      <c r="H42" s="123"/>
      <c r="I42" s="126">
        <v>29</v>
      </c>
      <c r="J42" s="127"/>
      <c r="K42" s="126">
        <v>37</v>
      </c>
      <c r="L42" s="127"/>
      <c r="M42" s="36">
        <v>45</v>
      </c>
      <c r="N42" s="37"/>
      <c r="O42" s="40">
        <v>53</v>
      </c>
      <c r="P42" s="77"/>
      <c r="Q42" s="64">
        <v>61</v>
      </c>
      <c r="R42" s="65"/>
      <c r="S42" s="44">
        <v>69</v>
      </c>
      <c r="T42" s="45"/>
      <c r="U42" s="46">
        <v>77</v>
      </c>
      <c r="V42" s="47"/>
      <c r="W42" s="48">
        <v>85</v>
      </c>
      <c r="X42" s="49"/>
      <c r="Y42" s="50">
        <v>93</v>
      </c>
      <c r="Z42" s="100"/>
      <c r="AA42" s="30"/>
      <c r="AB42" s="30"/>
      <c r="AC42" s="321" t="s">
        <v>67</v>
      </c>
      <c r="AD42" s="31">
        <v>5</v>
      </c>
      <c r="AE42" s="32"/>
      <c r="AF42" s="31">
        <v>13</v>
      </c>
      <c r="AG42" s="32"/>
      <c r="AH42" s="31">
        <v>21</v>
      </c>
      <c r="AI42" s="32"/>
      <c r="AJ42" s="31">
        <v>29</v>
      </c>
      <c r="AK42" s="32"/>
      <c r="AL42" s="31">
        <v>37</v>
      </c>
      <c r="AM42" s="32"/>
      <c r="AN42" s="31">
        <v>45</v>
      </c>
      <c r="AO42" s="32"/>
      <c r="AP42" s="31">
        <v>53</v>
      </c>
      <c r="AQ42" s="32"/>
      <c r="AR42" s="31">
        <v>61</v>
      </c>
      <c r="AS42" s="32"/>
      <c r="AT42" s="31">
        <v>69</v>
      </c>
      <c r="AU42" s="32"/>
      <c r="AV42" s="31">
        <v>77</v>
      </c>
      <c r="AW42" s="32"/>
      <c r="AX42" s="31">
        <v>85</v>
      </c>
      <c r="AY42" s="32"/>
      <c r="AZ42" s="31">
        <v>93</v>
      </c>
      <c r="BA42" s="32"/>
    </row>
    <row r="43" spans="2:53" ht="25.5" thickBot="1" x14ac:dyDescent="0.5">
      <c r="B43" s="321"/>
      <c r="C43" s="195"/>
      <c r="D43" s="196" t="str">
        <f>IF(Controler!$J$8&gt;=5,"P5"," ")</f>
        <v>P5</v>
      </c>
      <c r="E43" s="124"/>
      <c r="F43" s="125" t="str">
        <f>IF(Controler!$J$8&gt;=13,"P13"," ")</f>
        <v>P13</v>
      </c>
      <c r="G43" s="124"/>
      <c r="H43" s="125"/>
      <c r="I43" s="128"/>
      <c r="J43" s="129"/>
      <c r="K43" s="128"/>
      <c r="L43" s="129"/>
      <c r="M43" s="38"/>
      <c r="N43" s="39"/>
      <c r="O43" s="52"/>
      <c r="P43" s="53" t="str">
        <f>References!$C$30</f>
        <v>W2</v>
      </c>
      <c r="Q43" s="66"/>
      <c r="R43" s="67" t="s">
        <v>63</v>
      </c>
      <c r="S43" s="56"/>
      <c r="T43" s="57" t="s">
        <v>59</v>
      </c>
      <c r="U43" s="58"/>
      <c r="V43" s="59" t="s">
        <v>60</v>
      </c>
      <c r="W43" s="60"/>
      <c r="X43" s="61" t="s">
        <v>61</v>
      </c>
      <c r="Y43" s="62"/>
      <c r="Z43" s="101" t="s">
        <v>62</v>
      </c>
      <c r="AA43" s="30"/>
      <c r="AB43" s="30"/>
      <c r="AC43" s="321"/>
      <c r="AD43" s="33"/>
      <c r="AE43" s="34" t="str">
        <f>IF(Controler!$J$8&gt;=10,"10"," ")</f>
        <v>10</v>
      </c>
      <c r="AF43" s="33"/>
      <c r="AG43" s="34" t="str">
        <f>IF(Controler!$J$8&gt;=11,"11"," ")</f>
        <v>11</v>
      </c>
      <c r="AH43" s="33"/>
      <c r="AI43" s="34" t="str">
        <f>IF(Controler!$J$8&gt;=12,"12"," ")</f>
        <v>12</v>
      </c>
      <c r="AJ43" s="33"/>
      <c r="AK43" s="34" t="str" cm="1">
        <f t="array" ref="AK43">_xlfn.IFS(Controler!$J$8&gt;13,"14",Controler!$J$8=13,"Sample",Controler!$J$8&lt;13,"")</f>
        <v>Sample</v>
      </c>
      <c r="AL43" s="33"/>
      <c r="AM43" s="34" t="str">
        <f>IF(Controler!$J$8&gt;=13,"13"," ")</f>
        <v>13</v>
      </c>
      <c r="AN43" s="33"/>
      <c r="AO43" s="34" t="str">
        <f>IF(Controler!$J$8&gt;=14,"14"," ")</f>
        <v xml:space="preserve"> </v>
      </c>
      <c r="AP43" s="33"/>
      <c r="AQ43" s="34">
        <v>15</v>
      </c>
      <c r="AR43" s="33"/>
      <c r="AS43" s="34" t="str">
        <f>IF(Controler!$J$8&gt;=16,"16"," ")</f>
        <v xml:space="preserve"> </v>
      </c>
      <c r="AT43" s="33"/>
      <c r="AU43" s="34" t="str" cm="1">
        <f t="array" ref="AU43">_xlfn.IFS(Controler!$J$8&gt;17,"18",Controler!$J$8=17,"Sample",Controler!$J$8&lt;17,"")</f>
        <v/>
      </c>
      <c r="AV43" s="33"/>
      <c r="AW43" s="34" t="str">
        <f>IF(Controler!$J$8&gt;=17,"17"," ")</f>
        <v xml:space="preserve"> </v>
      </c>
      <c r="AX43" s="33"/>
      <c r="AY43" s="34" t="str">
        <f>IF(Controler!$J$8&gt;=18,"18"," ")</f>
        <v xml:space="preserve"> </v>
      </c>
      <c r="AZ43" s="33"/>
      <c r="BA43" s="34" t="str">
        <f>IF(Controler!$J$8&gt;=19,"19"," ")</f>
        <v xml:space="preserve"> </v>
      </c>
    </row>
    <row r="44" spans="2:53" ht="26" thickTop="1" thickBot="1" x14ac:dyDescent="0.5">
      <c r="B44" s="321" t="s">
        <v>64</v>
      </c>
      <c r="C44" s="197">
        <v>6</v>
      </c>
      <c r="D44" s="198"/>
      <c r="E44" s="122">
        <v>14</v>
      </c>
      <c r="F44" s="123"/>
      <c r="G44" s="122">
        <v>22</v>
      </c>
      <c r="H44" s="123"/>
      <c r="I44" s="126">
        <v>30</v>
      </c>
      <c r="J44" s="127"/>
      <c r="K44" s="126">
        <v>38</v>
      </c>
      <c r="L44" s="127"/>
      <c r="M44" s="36">
        <v>46</v>
      </c>
      <c r="N44" s="37"/>
      <c r="O44" s="40">
        <v>54</v>
      </c>
      <c r="P44" s="77"/>
      <c r="Q44" s="68">
        <v>62</v>
      </c>
      <c r="R44" s="69"/>
      <c r="S44" s="44">
        <v>70</v>
      </c>
      <c r="T44" s="45"/>
      <c r="U44" s="46">
        <v>78</v>
      </c>
      <c r="V44" s="47"/>
      <c r="W44" s="48">
        <v>86</v>
      </c>
      <c r="X44" s="49"/>
      <c r="Y44" s="50">
        <v>94</v>
      </c>
      <c r="Z44" s="100"/>
      <c r="AA44" s="30"/>
      <c r="AB44" s="30"/>
      <c r="AC44" s="321" t="s">
        <v>64</v>
      </c>
      <c r="AD44" s="31">
        <v>6</v>
      </c>
      <c r="AE44" s="32"/>
      <c r="AF44" s="31">
        <v>14</v>
      </c>
      <c r="AG44" s="32"/>
      <c r="AH44" s="31">
        <v>22</v>
      </c>
      <c r="AI44" s="32"/>
      <c r="AJ44" s="31">
        <v>30</v>
      </c>
      <c r="AK44" s="32"/>
      <c r="AL44" s="31">
        <v>38</v>
      </c>
      <c r="AM44" s="32"/>
      <c r="AN44" s="31">
        <v>46</v>
      </c>
      <c r="AO44" s="32"/>
      <c r="AP44" s="31">
        <v>54</v>
      </c>
      <c r="AQ44" s="32"/>
      <c r="AR44" s="31">
        <v>62</v>
      </c>
      <c r="AS44" s="32"/>
      <c r="AT44" s="31">
        <v>70</v>
      </c>
      <c r="AU44" s="32"/>
      <c r="AV44" s="31">
        <v>78</v>
      </c>
      <c r="AW44" s="32"/>
      <c r="AX44" s="31">
        <v>86</v>
      </c>
      <c r="AY44" s="32"/>
      <c r="AZ44" s="31">
        <v>94</v>
      </c>
      <c r="BA44" s="32"/>
    </row>
    <row r="45" spans="2:53" ht="25.5" thickBot="1" x14ac:dyDescent="0.5">
      <c r="B45" s="321"/>
      <c r="C45" s="199"/>
      <c r="D45" s="200" t="str">
        <f>IF(Controler!$J$8&gt;=6,"P6"," ")</f>
        <v>P6</v>
      </c>
      <c r="E45" s="124"/>
      <c r="F45" s="125" t="str">
        <f>IF(Controler!$J$8&gt;=14,"P14"," ")</f>
        <v xml:space="preserve"> </v>
      </c>
      <c r="G45" s="124"/>
      <c r="H45" s="125"/>
      <c r="I45" s="128"/>
      <c r="J45" s="129"/>
      <c r="K45" s="128"/>
      <c r="L45" s="130"/>
      <c r="M45" s="38"/>
      <c r="N45" s="39"/>
      <c r="O45" s="52"/>
      <c r="P45" s="53" t="str">
        <f>References!$C$30</f>
        <v>W2</v>
      </c>
      <c r="Q45" s="70"/>
      <c r="R45" s="71" t="s">
        <v>64</v>
      </c>
      <c r="S45" s="56"/>
      <c r="T45" s="57" t="s">
        <v>59</v>
      </c>
      <c r="U45" s="58"/>
      <c r="V45" s="59" t="s">
        <v>60</v>
      </c>
      <c r="W45" s="60"/>
      <c r="X45" s="61" t="s">
        <v>61</v>
      </c>
      <c r="Y45" s="62"/>
      <c r="Z45" s="101" t="s">
        <v>62</v>
      </c>
      <c r="AA45" s="30"/>
      <c r="AB45" s="30"/>
      <c r="AC45" s="321"/>
      <c r="AD45" s="33"/>
      <c r="AE45" s="34" t="str">
        <f>IF(Controler!$J$8&gt;=10,"10"," ")</f>
        <v>10</v>
      </c>
      <c r="AF45" s="33"/>
      <c r="AG45" s="34" t="str">
        <f>IF(Controler!$J$8&gt;=11,"11"," ")</f>
        <v>11</v>
      </c>
      <c r="AH45" s="33"/>
      <c r="AI45" s="34" t="str">
        <f>IF(Controler!$J$8&gt;=12,"12"," ")</f>
        <v>12</v>
      </c>
      <c r="AJ45" s="33"/>
      <c r="AK45" s="34" t="str" cm="1">
        <f t="array" ref="AK45">_xlfn.IFS(Controler!$J$8&gt;14,"15",Controler!$J$8=14,"Sample",Controler!$J$8&lt;14,"")</f>
        <v/>
      </c>
      <c r="AL45" s="33"/>
      <c r="AM45" s="34" t="str">
        <f>IF(Controler!$J$8&gt;=13,"13"," ")</f>
        <v>13</v>
      </c>
      <c r="AN45" s="33"/>
      <c r="AO45" s="34" t="str">
        <f>IF(Controler!$J$8&gt;=14,"14"," ")</f>
        <v xml:space="preserve"> </v>
      </c>
      <c r="AP45" s="33"/>
      <c r="AQ45" s="34">
        <v>15</v>
      </c>
      <c r="AR45" s="33"/>
      <c r="AS45" s="34" t="str">
        <f>IF(Controler!$J$8&gt;=16,"16"," ")</f>
        <v xml:space="preserve"> </v>
      </c>
      <c r="AT45" s="33"/>
      <c r="AU45" s="34" t="str" cm="1">
        <f t="array" ref="AU45">_xlfn.IFS(Controler!$J$8&gt;18,"19",Controler!$J$8=18,"Sample",Controler!$J$8&lt;18,"")</f>
        <v/>
      </c>
      <c r="AV45" s="33"/>
      <c r="AW45" s="34" t="str">
        <f>IF(Controler!$J$8&gt;=17,"17"," ")</f>
        <v xml:space="preserve"> </v>
      </c>
      <c r="AX45" s="33"/>
      <c r="AY45" s="34" t="str">
        <f>IF(Controler!$J$8&gt;=18,"18"," ")</f>
        <v xml:space="preserve"> </v>
      </c>
      <c r="AZ45" s="33"/>
      <c r="BA45" s="34" t="str">
        <f>IF(Controler!$J$8&gt;=19,"19"," ")</f>
        <v xml:space="preserve"> </v>
      </c>
    </row>
    <row r="46" spans="2:53" ht="26" thickTop="1" thickBot="1" x14ac:dyDescent="0.5">
      <c r="B46" s="321" t="s">
        <v>68</v>
      </c>
      <c r="C46" s="201">
        <v>7</v>
      </c>
      <c r="D46" s="202"/>
      <c r="E46" s="122">
        <v>15</v>
      </c>
      <c r="F46" s="123"/>
      <c r="G46" s="122">
        <v>23</v>
      </c>
      <c r="H46" s="123"/>
      <c r="I46" s="126">
        <v>31</v>
      </c>
      <c r="J46" s="127"/>
      <c r="K46" s="126">
        <v>39</v>
      </c>
      <c r="L46" s="127"/>
      <c r="M46" s="36">
        <v>47</v>
      </c>
      <c r="N46" s="37"/>
      <c r="O46" s="40">
        <v>55</v>
      </c>
      <c r="P46" s="77"/>
      <c r="Q46" s="72">
        <v>63</v>
      </c>
      <c r="R46" s="73"/>
      <c r="S46" s="44">
        <v>71</v>
      </c>
      <c r="T46" s="45"/>
      <c r="U46" s="46">
        <v>79</v>
      </c>
      <c r="V46" s="47"/>
      <c r="W46" s="48">
        <v>87</v>
      </c>
      <c r="X46" s="49"/>
      <c r="Y46" s="50">
        <v>95</v>
      </c>
      <c r="Z46" s="100"/>
      <c r="AA46" s="30"/>
      <c r="AB46" s="30"/>
      <c r="AC46" s="321" t="s">
        <v>68</v>
      </c>
      <c r="AD46" s="31">
        <v>7</v>
      </c>
      <c r="AE46" s="32"/>
      <c r="AF46" s="31">
        <v>15</v>
      </c>
      <c r="AG46" s="32"/>
      <c r="AH46" s="31">
        <v>23</v>
      </c>
      <c r="AI46" s="32"/>
      <c r="AJ46" s="31">
        <v>31</v>
      </c>
      <c r="AK46" s="32"/>
      <c r="AL46" s="31">
        <v>39</v>
      </c>
      <c r="AM46" s="32"/>
      <c r="AN46" s="31">
        <v>47</v>
      </c>
      <c r="AO46" s="32"/>
      <c r="AP46" s="31">
        <v>55</v>
      </c>
      <c r="AQ46" s="32"/>
      <c r="AR46" s="31">
        <v>63</v>
      </c>
      <c r="AS46" s="32"/>
      <c r="AT46" s="31">
        <v>71</v>
      </c>
      <c r="AU46" s="32"/>
      <c r="AV46" s="31">
        <v>79</v>
      </c>
      <c r="AW46" s="32"/>
      <c r="AX46" s="31">
        <v>87</v>
      </c>
      <c r="AY46" s="32"/>
      <c r="AZ46" s="31">
        <v>95</v>
      </c>
      <c r="BA46" s="32"/>
    </row>
    <row r="47" spans="2:53" ht="25.5" thickBot="1" x14ac:dyDescent="0.5">
      <c r="B47" s="333"/>
      <c r="C47" s="203"/>
      <c r="D47" s="204" t="str">
        <f>IF(Controler!$J$8&gt;=7,"P7"," ")</f>
        <v>P7</v>
      </c>
      <c r="E47" s="124"/>
      <c r="F47" s="125" t="str">
        <f>IF(Controler!$J$8&gt;=15,"P15"," ")</f>
        <v xml:space="preserve"> </v>
      </c>
      <c r="G47" s="124"/>
      <c r="H47" s="125"/>
      <c r="I47" s="131"/>
      <c r="J47" s="132"/>
      <c r="K47" s="131"/>
      <c r="L47" s="133"/>
      <c r="M47" s="102"/>
      <c r="N47" s="103"/>
      <c r="O47" s="104"/>
      <c r="P47" s="53" t="str">
        <f>References!$C$30</f>
        <v>W2</v>
      </c>
      <c r="Q47" s="106"/>
      <c r="R47" s="107" t="s">
        <v>65</v>
      </c>
      <c r="S47" s="108"/>
      <c r="T47" s="109" t="s">
        <v>59</v>
      </c>
      <c r="U47" s="110"/>
      <c r="V47" s="111" t="s">
        <v>60</v>
      </c>
      <c r="W47" s="112"/>
      <c r="X47" s="113" t="s">
        <v>61</v>
      </c>
      <c r="Y47" s="114"/>
      <c r="Z47" s="115" t="s">
        <v>62</v>
      </c>
      <c r="AA47" s="30"/>
      <c r="AB47" s="30"/>
      <c r="AC47" s="333"/>
      <c r="AD47" s="33"/>
      <c r="AE47" s="34" t="str">
        <f>IF(Controler!$J$8&gt;=10,"10"," ")</f>
        <v>10</v>
      </c>
      <c r="AF47" s="33"/>
      <c r="AG47" s="34" t="str">
        <f>IF(Controler!$J$8&gt;=11,"11"," ")</f>
        <v>11</v>
      </c>
      <c r="AH47" s="33"/>
      <c r="AI47" s="34" t="str">
        <f>IF(Controler!$J$8&gt;=12,"12"," ")</f>
        <v>12</v>
      </c>
      <c r="AJ47" s="33"/>
      <c r="AK47" s="34" t="str" cm="1">
        <f t="array" ref="AK47">_xlfn.IFS(Controler!$J$8&gt;15,"16",Controler!$J$8=15,"Sample",Controler!$J$8&lt;15,"")</f>
        <v/>
      </c>
      <c r="AL47" s="33"/>
      <c r="AM47" s="34" t="str">
        <f>IF(Controler!$J$8&gt;=13,"13"," ")</f>
        <v>13</v>
      </c>
      <c r="AN47" s="33"/>
      <c r="AO47" s="34" t="str">
        <f>IF(Controler!$J$8&gt;=14,"14"," ")</f>
        <v xml:space="preserve"> </v>
      </c>
      <c r="AP47" s="33"/>
      <c r="AQ47" s="34">
        <v>15</v>
      </c>
      <c r="AR47" s="33"/>
      <c r="AS47" s="34" t="str">
        <f>IF(Controler!$J$8&gt;=16,"16"," ")</f>
        <v xml:space="preserve"> </v>
      </c>
      <c r="AT47" s="33"/>
      <c r="AU47" s="244" t="str" cm="1">
        <f t="array" ref="AU47">_xlfn.IFS(Controler!$J$8&gt;19,"20",Controler!$J$8=19,"Sample",Controler!$J$8&lt;19,"")</f>
        <v/>
      </c>
      <c r="AV47" s="33"/>
      <c r="AW47" s="34" t="str">
        <f>IF(Controler!$J$8&gt;=17,"17"," ")</f>
        <v xml:space="preserve"> </v>
      </c>
      <c r="AX47" s="33"/>
      <c r="AY47" s="34" t="str">
        <f>IF(Controler!$J$8&gt;=18,"18"," ")</f>
        <v xml:space="preserve"> </v>
      </c>
      <c r="AZ47" s="33"/>
      <c r="BA47" s="34" t="str">
        <f>IF(Controler!$J$8&gt;=19,"19"," ")</f>
        <v xml:space="preserve"> </v>
      </c>
    </row>
    <row r="48" spans="2:53" ht="15" thickTop="1" x14ac:dyDescent="0.35"/>
  </sheetData>
  <mergeCells count="94">
    <mergeCell ref="AZ31:BA31"/>
    <mergeCell ref="AN31:AO31"/>
    <mergeCell ref="AP31:AQ31"/>
    <mergeCell ref="AR31:AS31"/>
    <mergeCell ref="B32:B33"/>
    <mergeCell ref="AC32:AC33"/>
    <mergeCell ref="AH31:AI31"/>
    <mergeCell ref="B34:B35"/>
    <mergeCell ref="AC34:AC35"/>
    <mergeCell ref="B36:B37"/>
    <mergeCell ref="AC36:AC37"/>
    <mergeCell ref="AT31:AU31"/>
    <mergeCell ref="AD31:AE31"/>
    <mergeCell ref="AF31:AG31"/>
    <mergeCell ref="S31:T31"/>
    <mergeCell ref="U31:V31"/>
    <mergeCell ref="W31:X31"/>
    <mergeCell ref="Y31:Z31"/>
    <mergeCell ref="B38:B39"/>
    <mergeCell ref="B46:B47"/>
    <mergeCell ref="AC46:AC47"/>
    <mergeCell ref="B40:B41"/>
    <mergeCell ref="AC40:AC41"/>
    <mergeCell ref="B42:B43"/>
    <mergeCell ref="AC42:AC43"/>
    <mergeCell ref="B44:B45"/>
    <mergeCell ref="AC44:AC45"/>
    <mergeCell ref="AC38:AC39"/>
    <mergeCell ref="B1:Z3"/>
    <mergeCell ref="AC1:BA3"/>
    <mergeCell ref="B5:G5"/>
    <mergeCell ref="O5:T5"/>
    <mergeCell ref="U5:Z5"/>
    <mergeCell ref="H5:M5"/>
    <mergeCell ref="AC5:AH5"/>
    <mergeCell ref="AI5:AN5"/>
    <mergeCell ref="AP5:AU5"/>
    <mergeCell ref="AV5:BA5"/>
    <mergeCell ref="B7:Z7"/>
    <mergeCell ref="AC7:BA7"/>
    <mergeCell ref="AV31:AW31"/>
    <mergeCell ref="AX31:AY31"/>
    <mergeCell ref="B29:Z30"/>
    <mergeCell ref="AC29:BA30"/>
    <mergeCell ref="C31:D31"/>
    <mergeCell ref="E31:F31"/>
    <mergeCell ref="G31:H31"/>
    <mergeCell ref="I31:J31"/>
    <mergeCell ref="K31:L31"/>
    <mergeCell ref="M31:N31"/>
    <mergeCell ref="O31:P31"/>
    <mergeCell ref="Q31:R31"/>
    <mergeCell ref="AJ31:AK31"/>
    <mergeCell ref="AL31:AM31"/>
    <mergeCell ref="AR16:AV18"/>
    <mergeCell ref="B18:B19"/>
    <mergeCell ref="B24:B25"/>
    <mergeCell ref="AH24:AL26"/>
    <mergeCell ref="AM24:AQ26"/>
    <mergeCell ref="AR24:AV26"/>
    <mergeCell ref="B26:B27"/>
    <mergeCell ref="B20:B21"/>
    <mergeCell ref="AH20:AL22"/>
    <mergeCell ref="AM20:AQ22"/>
    <mergeCell ref="AR20:AV22"/>
    <mergeCell ref="B22:B23"/>
    <mergeCell ref="AE21:AF21"/>
    <mergeCell ref="AC20:AD20"/>
    <mergeCell ref="AE20:AF20"/>
    <mergeCell ref="AC21:AD21"/>
    <mergeCell ref="AR11:AV14"/>
    <mergeCell ref="B12:B13"/>
    <mergeCell ref="AC19:AD19"/>
    <mergeCell ref="AE19:AF19"/>
    <mergeCell ref="AH12:AL14"/>
    <mergeCell ref="AM12:AQ14"/>
    <mergeCell ref="B14:B15"/>
    <mergeCell ref="O11:P11"/>
    <mergeCell ref="Q11:R11"/>
    <mergeCell ref="S11:T11"/>
    <mergeCell ref="U11:V11"/>
    <mergeCell ref="W11:X11"/>
    <mergeCell ref="Y11:Z11"/>
    <mergeCell ref="B16:B17"/>
    <mergeCell ref="AH16:AL18"/>
    <mergeCell ref="AM16:AQ18"/>
    <mergeCell ref="B9:Z10"/>
    <mergeCell ref="AC16:AF18"/>
    <mergeCell ref="C11:D11"/>
    <mergeCell ref="E11:F11"/>
    <mergeCell ref="G11:H11"/>
    <mergeCell ref="I11:J11"/>
    <mergeCell ref="K11:L11"/>
    <mergeCell ref="M11:N11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42" fitToWidth="0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9" id="{18A28368-9F29-4120-8169-02C2FFCB6996}">
            <xm:f>OR(Controler!$E$26=6,Controler!$E$25=6,Controler!$E$24=6)</xm:f>
            <x14:dxf>
              <fill>
                <patternFill>
                  <bgColor theme="5"/>
                </patternFill>
              </fill>
            </x14:dxf>
          </x14:cfRule>
          <xm:sqref>AR19:AV22</xm:sqref>
        </x14:conditionalFormatting>
        <x14:conditionalFormatting xmlns:xm="http://schemas.microsoft.com/office/excel/2006/main">
          <x14:cfRule type="expression" priority="80" id="{1525528D-B701-4056-9F23-03FA3A9B60A1}">
            <xm:f>OR(Controler!$E$26=10,Controler!$E$25=10,Controler!$E$24=10)</xm:f>
            <x14:dxf>
              <fill>
                <patternFill>
                  <bgColor theme="5"/>
                </patternFill>
              </fill>
            </x14:dxf>
          </x14:cfRule>
          <xm:sqref>AH11:AL11 AH12</xm:sqref>
        </x14:conditionalFormatting>
        <x14:conditionalFormatting xmlns:xm="http://schemas.microsoft.com/office/excel/2006/main">
          <x14:cfRule type="expression" priority="82" id="{8D2F29E9-0D9E-44E6-A903-28889F88EB4A}">
            <xm:f>OR(Controler!$E$26=4,Controler!$E$25=4,Controler!$E$24=4)</xm:f>
            <x14:dxf>
              <fill>
                <patternFill>
                  <bgColor theme="5"/>
                </patternFill>
              </fill>
            </x14:dxf>
          </x14:cfRule>
          <xm:sqref>AH19:AL19 AH20</xm:sqref>
        </x14:conditionalFormatting>
        <x14:conditionalFormatting xmlns:xm="http://schemas.microsoft.com/office/excel/2006/main">
          <x14:cfRule type="expression" priority="84" id="{A8A6DDC6-14EA-4A99-97A5-7B00219A0597}">
            <xm:f>OR(Controler!$E$26=1,Controler!$E$25=1,Controler!$E$24=1)</xm:f>
            <x14:dxf>
              <fill>
                <patternFill>
                  <bgColor theme="5"/>
                </patternFill>
              </fill>
            </x14:dxf>
          </x14:cfRule>
          <xm:sqref>AH23:AL23 AH24</xm:sqref>
        </x14:conditionalFormatting>
        <x14:conditionalFormatting xmlns:xm="http://schemas.microsoft.com/office/excel/2006/main">
          <x14:cfRule type="expression" priority="86" id="{F6046B28-A503-44F6-979D-B4CB9A476C53}">
            <xm:f>OR(Controler!$E$26=11,Controler!$E$25=11,Controler!$E$24=11)</xm:f>
            <x14:dxf>
              <fill>
                <patternFill>
                  <bgColor theme="5"/>
                </patternFill>
              </fill>
            </x14:dxf>
          </x14:cfRule>
          <xm:sqref>AM11:AQ11 AM12</xm:sqref>
        </x14:conditionalFormatting>
        <x14:conditionalFormatting xmlns:xm="http://schemas.microsoft.com/office/excel/2006/main">
          <x14:cfRule type="expression" priority="88" id="{544B9905-A055-4FFB-9B49-DC0F72584B0B}">
            <xm:f>OR(Controler!$E$26=8,Controler!$E$25=8,Controler!$E$24=8)</xm:f>
            <x14:dxf>
              <fill>
                <patternFill>
                  <bgColor theme="5"/>
                </patternFill>
              </fill>
            </x14:dxf>
          </x14:cfRule>
          <xm:sqref>AM15:AQ15 AM16</xm:sqref>
        </x14:conditionalFormatting>
        <x14:conditionalFormatting xmlns:xm="http://schemas.microsoft.com/office/excel/2006/main">
          <x14:cfRule type="expression" priority="90" id="{31769007-2168-4012-BF2D-D4373E94BE53}">
            <xm:f>OR(Controler!$E$26=5,Controler!$E$25=5,Controler!$E$24=5)</xm:f>
            <x14:dxf>
              <fill>
                <patternFill>
                  <bgColor theme="5"/>
                </patternFill>
              </fill>
            </x14:dxf>
          </x14:cfRule>
          <xm:sqref>AM19:AQ19 AM20</xm:sqref>
        </x14:conditionalFormatting>
        <x14:conditionalFormatting xmlns:xm="http://schemas.microsoft.com/office/excel/2006/main">
          <x14:cfRule type="expression" priority="92" id="{0B2F6B0D-60EA-4DD0-9548-DB417BDFE3FA}">
            <xm:f>OR(Controler!$E$26=2,Controler!$E$25=2,Controler!$E$24=2)</xm:f>
            <x14:dxf>
              <fill>
                <patternFill>
                  <bgColor theme="5"/>
                </patternFill>
              </fill>
            </x14:dxf>
          </x14:cfRule>
          <xm:sqref>AM23:AQ23 AM24</xm:sqref>
        </x14:conditionalFormatting>
        <x14:conditionalFormatting xmlns:xm="http://schemas.microsoft.com/office/excel/2006/main">
          <x14:cfRule type="expression" priority="94" id="{0CFF90DE-E0E5-4DFA-A3C7-86681C7AC6DB}">
            <xm:f>OR(Controler!$E$26=3,Controler!$E$25=3,Controler!$E$24=3)</xm:f>
            <x14:dxf>
              <fill>
                <patternFill>
                  <bgColor theme="5"/>
                </patternFill>
              </fill>
            </x14:dxf>
          </x14:cfRule>
          <xm:sqref>AR23:AV23 AR24</xm:sqref>
        </x14:conditionalFormatting>
        <x14:conditionalFormatting xmlns:xm="http://schemas.microsoft.com/office/excel/2006/main">
          <x14:cfRule type="expression" priority="96" id="{14728749-18AB-40A2-8FC0-0191BDFD00C7}">
            <xm:f>OR(Controler!$E$26=9,Controler!$E$25=9,Controler!$E$24=9)</xm:f>
            <x14:dxf>
              <fill>
                <patternFill>
                  <bgColor theme="5"/>
                </patternFill>
              </fill>
            </x14:dxf>
          </x14:cfRule>
          <xm:sqref>AR15:AV15 AR16</xm:sqref>
        </x14:conditionalFormatting>
        <x14:conditionalFormatting xmlns:xm="http://schemas.microsoft.com/office/excel/2006/main">
          <x14:cfRule type="expression" priority="98" id="{9689F6CF-A9FD-47FC-9B66-8F28D6DDC10B}">
            <xm:f>OR(Controler!$E$26=7,Controler!$E$25=7,Controler!$E$24=7)</xm:f>
            <x14:dxf>
              <fill>
                <patternFill>
                  <bgColor theme="5"/>
                </patternFill>
              </fill>
            </x14:dxf>
          </x14:cfRule>
          <xm:sqref>AH15:AL15 AH16</xm:sqref>
        </x14:conditionalFormatting>
        <x14:conditionalFormatting xmlns:xm="http://schemas.microsoft.com/office/excel/2006/main">
          <x14:cfRule type="expression" priority="196" id="{ACDED57F-6F6A-4130-8AC6-86F6EBE6B8CE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C34:D35 AD32:AG33 AF34:AG39</xm:sqref>
        </x14:conditionalFormatting>
        <x14:conditionalFormatting xmlns:xm="http://schemas.microsoft.com/office/excel/2006/main">
          <x14:cfRule type="expression" priority="199" id="{00394385-ED1B-4BC0-9F47-25D3588FE0F3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C36:D37 AH32:AI39</xm:sqref>
        </x14:conditionalFormatting>
        <x14:conditionalFormatting xmlns:xm="http://schemas.microsoft.com/office/excel/2006/main">
          <x14:cfRule type="expression" priority="201" id="{27DDE103-A12B-4C8F-B9C6-0B57D7A9B8F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C38:D39 AJ32:AK39</xm:sqref>
        </x14:conditionalFormatting>
        <x14:conditionalFormatting xmlns:xm="http://schemas.microsoft.com/office/excel/2006/main">
          <x14:cfRule type="expression" priority="203" id="{700A5F4F-5B0F-44FF-836D-41C8A675BDE5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C40:D41 AL32:AM39</xm:sqref>
        </x14:conditionalFormatting>
        <x14:conditionalFormatting xmlns:xm="http://schemas.microsoft.com/office/excel/2006/main">
          <x14:cfRule type="expression" priority="205" id="{10D73556-05E4-43BD-89F0-CB41BE80CCB6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C42:D43 AP32:AQ39</xm:sqref>
        </x14:conditionalFormatting>
        <x14:conditionalFormatting xmlns:xm="http://schemas.microsoft.com/office/excel/2006/main">
          <x14:cfRule type="expression" priority="207" id="{16FE7E62-805D-479A-B59D-56D29F395B68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C44:D45 AR32:AS39</xm:sqref>
        </x14:conditionalFormatting>
        <x14:conditionalFormatting xmlns:xm="http://schemas.microsoft.com/office/excel/2006/main">
          <x14:cfRule type="expression" priority="209" id="{C3358852-A906-454D-BFD8-EB7999E48D59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C46:D47 AT32:AU39</xm:sqref>
        </x14:conditionalFormatting>
        <x14:conditionalFormatting xmlns:xm="http://schemas.microsoft.com/office/excel/2006/main">
          <x14:cfRule type="expression" priority="211" id="{536B02C1-27B5-4A3E-8C84-8B18D6B18690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E32:F33 AV32:AW39</xm:sqref>
        </x14:conditionalFormatting>
        <x14:conditionalFormatting xmlns:xm="http://schemas.microsoft.com/office/excel/2006/main">
          <x14:cfRule type="expression" priority="213" id="{CFF7A31B-464F-4BB6-8008-44F8155DCFC8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E34:F35 AZ32:BA39</xm:sqref>
        </x14:conditionalFormatting>
        <x14:conditionalFormatting xmlns:xm="http://schemas.microsoft.com/office/excel/2006/main">
          <x14:cfRule type="expression" priority="215" id="{2DEC559B-17E7-40E1-BA6F-AEACA73A70B1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E36:F37 AD40:AE47</xm:sqref>
        </x14:conditionalFormatting>
        <x14:conditionalFormatting xmlns:xm="http://schemas.microsoft.com/office/excel/2006/main">
          <x14:cfRule type="expression" priority="217" id="{BABAE8DE-D094-4182-A1ED-5DC5C615186F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E38:F39 AF40:AG47</xm:sqref>
        </x14:conditionalFormatting>
        <x14:conditionalFormatting xmlns:xm="http://schemas.microsoft.com/office/excel/2006/main">
          <x14:cfRule type="expression" priority="219" id="{9844AA1F-8D73-4FEB-B53A-1966B62E7E5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E40:F41 AH40:AI47</xm:sqref>
        </x14:conditionalFormatting>
        <x14:conditionalFormatting xmlns:xm="http://schemas.microsoft.com/office/excel/2006/main">
          <x14:cfRule type="expression" priority="221" id="{BAA4974D-228A-4C35-9E06-F5B4D9A545CB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E42:F43 AL40:AM47</xm:sqref>
        </x14:conditionalFormatting>
        <x14:conditionalFormatting xmlns:xm="http://schemas.microsoft.com/office/excel/2006/main">
          <x14:cfRule type="expression" priority="223" id="{7C103BC6-459B-4620-836B-26F677B1F604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E44:F45 AN40:AO47</xm:sqref>
        </x14:conditionalFormatting>
        <x14:conditionalFormatting xmlns:xm="http://schemas.microsoft.com/office/excel/2006/main">
          <x14:cfRule type="expression" priority="225" id="{E250A000-AE10-4BCA-9A29-4590B2467AA3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E46:F47 AP40:AQ47</xm:sqref>
        </x14:conditionalFormatting>
        <x14:conditionalFormatting xmlns:xm="http://schemas.microsoft.com/office/excel/2006/main">
          <x14:cfRule type="expression" priority="227" id="{85F88FEC-EA75-49F2-AAB5-7B34B20FCBA5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G32:H33 AR40:AS47</xm:sqref>
        </x14:conditionalFormatting>
        <x14:conditionalFormatting xmlns:xm="http://schemas.microsoft.com/office/excel/2006/main">
          <x14:cfRule type="expression" priority="229" id="{F4BD221B-5048-4979-AF26-359D51BD978C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G34:H35 AV40:AW47</xm:sqref>
        </x14:conditionalFormatting>
        <x14:conditionalFormatting xmlns:xm="http://schemas.microsoft.com/office/excel/2006/main">
          <x14:cfRule type="expression" priority="231" id="{30BEA020-9EBE-4BB9-9ABE-0D67F94A16C1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G36:H37 AX40:AY47</xm:sqref>
        </x14:conditionalFormatting>
        <x14:conditionalFormatting xmlns:xm="http://schemas.microsoft.com/office/excel/2006/main">
          <x14:cfRule type="expression" priority="233" id="{DEA627EF-7B7F-4037-8DD8-6AAFDDD21A0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G38:H39 AZ40:BA47</xm:sqref>
        </x14:conditionalFormatting>
        <x14:conditionalFormatting xmlns:xm="http://schemas.microsoft.com/office/excel/2006/main">
          <x14:cfRule type="expression" priority="235" id="{1007FD3D-B13A-49AD-85CC-162446F030F7}">
            <xm:f>Controler!$J$8&gt;=1</xm:f>
            <x14:dxf>
              <fill>
                <patternFill>
                  <bgColor rgb="FFCCD8E7"/>
                </patternFill>
              </fill>
            </x14:dxf>
          </x14:cfRule>
          <x14:cfRule type="expression" priority="20" id="{C1C3BA6B-E46B-49C1-8E10-EF00DD66EF7A}">
            <xm:f>Controler!$J$8=1</xm:f>
            <x14:dxf>
              <fill>
                <patternFill>
                  <bgColor theme="5"/>
                </patternFill>
              </fill>
            </x14:dxf>
          </x14:cfRule>
          <xm:sqref>AD34:AE35</xm:sqref>
        </x14:conditionalFormatting>
        <x14:conditionalFormatting xmlns:xm="http://schemas.microsoft.com/office/excel/2006/main">
          <x14:cfRule type="expression" priority="236" id="{6E41C6E3-54E7-4ECD-9CB1-5BBEB49F2A8A}">
            <xm:f>Controler!$J$8&gt;=2</xm:f>
            <x14:dxf>
              <fill>
                <patternFill>
                  <bgColor rgb="FFB3C5DA"/>
                </patternFill>
              </fill>
            </x14:dxf>
          </x14:cfRule>
          <x14:cfRule type="expression" priority="19" id="{92A10A5E-8F7E-4B72-90E4-1664A969A83C}">
            <xm:f>Controler!$J$8=2</xm:f>
            <x14:dxf>
              <fill>
                <patternFill>
                  <bgColor theme="5"/>
                </patternFill>
              </fill>
            </x14:dxf>
          </x14:cfRule>
          <xm:sqref>AD36:AE37</xm:sqref>
        </x14:conditionalFormatting>
        <x14:conditionalFormatting xmlns:xm="http://schemas.microsoft.com/office/excel/2006/main">
          <x14:cfRule type="expression" priority="237" id="{2CFD2365-A32B-4249-B6D0-FC569858A290}">
            <xm:f>Controler!$J$8&gt;=3</xm:f>
            <x14:dxf>
              <fill>
                <patternFill>
                  <bgColor rgb="FF809EC2"/>
                </patternFill>
              </fill>
            </x14:dxf>
          </x14:cfRule>
          <x14:cfRule type="expression" priority="18" id="{F05689C1-5417-4384-A1CE-AFEAFF97416D}">
            <xm:f>Controler!$J$8=3</xm:f>
            <x14:dxf>
              <fill>
                <patternFill>
                  <bgColor theme="5"/>
                </patternFill>
              </fill>
            </x14:dxf>
          </x14:cfRule>
          <xm:sqref>AD38:AE39</xm:sqref>
        </x14:conditionalFormatting>
        <x14:conditionalFormatting xmlns:xm="http://schemas.microsoft.com/office/excel/2006/main">
          <x14:cfRule type="expression" priority="238" id="{650D4403-7A67-41C7-86EF-59B373710135}">
            <xm:f>Controler!$J$8&gt;=4</xm:f>
            <x14:dxf>
              <fill>
                <patternFill>
                  <bgColor rgb="FFEBE7F2"/>
                </patternFill>
              </fill>
            </x14:dxf>
          </x14:cfRule>
          <x14:cfRule type="expression" priority="17" id="{37382DE1-1E21-4503-AA77-83C59358921F}">
            <xm:f>Controler!$J$8=4</xm:f>
            <x14:dxf>
              <fill>
                <patternFill>
                  <bgColor theme="5"/>
                </patternFill>
              </fill>
            </x14:dxf>
          </x14:cfRule>
          <xm:sqref>AN32:AO33</xm:sqref>
        </x14:conditionalFormatting>
        <x14:conditionalFormatting xmlns:xm="http://schemas.microsoft.com/office/excel/2006/main">
          <x14:cfRule type="expression" priority="239" id="{2597D84B-E142-4A80-BA19-1ED801729563}">
            <xm:f>Controler!$J$8&gt;=5</xm:f>
            <x14:dxf>
              <fill>
                <patternFill>
                  <bgColor rgb="FFD7CEE6"/>
                </patternFill>
              </fill>
            </x14:dxf>
          </x14:cfRule>
          <x14:cfRule type="expression" priority="16" id="{9C5ED4E6-1DC2-4B3F-9A78-FB47A8E432CC}">
            <xm:f>Controler!$J$8=5</xm:f>
            <x14:dxf>
              <fill>
                <patternFill>
                  <bgColor theme="5"/>
                </patternFill>
              </fill>
            </x14:dxf>
          </x14:cfRule>
          <xm:sqref>AN34:AO35</xm:sqref>
        </x14:conditionalFormatting>
        <x14:conditionalFormatting xmlns:xm="http://schemas.microsoft.com/office/excel/2006/main">
          <x14:cfRule type="expression" priority="240" id="{9CEAF3C6-80D5-4DD1-AE06-274960F22D7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14:cfRule type="expression" priority="15" id="{ADA0DAAD-009A-4E52-B11D-846A3BBDD86D}">
            <xm:f>Controler!$J$8=6</xm:f>
            <x14:dxf>
              <fill>
                <patternFill>
                  <bgColor theme="5"/>
                </patternFill>
              </fill>
            </x14:dxf>
          </x14:cfRule>
          <xm:sqref>AN36:AO37</xm:sqref>
        </x14:conditionalFormatting>
        <x14:conditionalFormatting xmlns:xm="http://schemas.microsoft.com/office/excel/2006/main">
          <x14:cfRule type="expression" priority="241" id="{8078791A-6133-4B9F-970D-8A3A6C7A4809}">
            <xm:f>Controler!$J$8&gt;=7</xm:f>
            <x14:dxf>
              <fill>
                <patternFill>
                  <bgColor rgb="FF9C85C0"/>
                </patternFill>
              </fill>
            </x14:dxf>
          </x14:cfRule>
          <x14:cfRule type="expression" priority="14" id="{75B60F28-874C-4189-B1F9-BA15B8B76861}">
            <xm:f>Controler!$J$8=7</xm:f>
            <x14:dxf>
              <fill>
                <patternFill>
                  <bgColor theme="5"/>
                </patternFill>
              </fill>
            </x14:dxf>
          </x14:cfRule>
          <xm:sqref>AN38:AO39</xm:sqref>
        </x14:conditionalFormatting>
        <x14:conditionalFormatting xmlns:xm="http://schemas.microsoft.com/office/excel/2006/main">
          <x14:cfRule type="expression" priority="242" id="{EE46FBCA-C60B-4747-875D-C4E9BCBD9738}">
            <xm:f>Controler!$J$8&gt;=8</xm:f>
            <x14:dxf>
              <fill>
                <patternFill>
                  <bgColor rgb="FFF6E9ED"/>
                </patternFill>
              </fill>
            </x14:dxf>
          </x14:cfRule>
          <x14:cfRule type="expression" priority="13" id="{BDAD7312-297B-4FB0-8F13-800DA1551F75}">
            <xm:f>Controler!$J$8=8</xm:f>
            <x14:dxf>
              <fill>
                <patternFill>
                  <bgColor theme="5"/>
                </patternFill>
              </fill>
            </x14:dxf>
          </x14:cfRule>
          <xm:sqref>AX32:AY33</xm:sqref>
        </x14:conditionalFormatting>
        <x14:conditionalFormatting xmlns:xm="http://schemas.microsoft.com/office/excel/2006/main">
          <x14:cfRule type="expression" priority="243" id="{076E06D4-5ADD-42CB-82B7-4422374DF40F}">
            <xm:f>Controler!$J$8&gt;=9</xm:f>
            <x14:dxf>
              <fill>
                <patternFill>
                  <bgColor rgb="FFECD3DC"/>
                </patternFill>
              </fill>
            </x14:dxf>
          </x14:cfRule>
          <x14:cfRule type="expression" priority="12" id="{E06B9B8D-40E6-433C-AC9D-11B370F06B2D}">
            <xm:f>Controler!$J$8=9</xm:f>
            <x14:dxf>
              <fill>
                <patternFill>
                  <bgColor theme="5"/>
                </patternFill>
              </fill>
            </x14:dxf>
          </x14:cfRule>
          <xm:sqref>AX34:AY35</xm:sqref>
        </x14:conditionalFormatting>
        <x14:conditionalFormatting xmlns:xm="http://schemas.microsoft.com/office/excel/2006/main">
          <x14:cfRule type="expression" priority="244" id="{0D0E7B7A-FDEC-48EC-A8D0-4078682E4F1E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14:cfRule type="expression" priority="11" id="{81F44406-FDA0-4BAD-BEE8-94BF4F23C2B4}">
            <xm:f>Controler!$J$8=10</xm:f>
            <x14:dxf>
              <fill>
                <patternFill>
                  <bgColor theme="5"/>
                </patternFill>
              </fill>
            </x14:dxf>
          </x14:cfRule>
          <xm:sqref>AX36:AY37</xm:sqref>
        </x14:conditionalFormatting>
        <x14:conditionalFormatting xmlns:xm="http://schemas.microsoft.com/office/excel/2006/main">
          <x14:cfRule type="expression" priority="245" id="{D1EF729C-D132-46FB-BCD4-9F252DF94244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14:cfRule type="expression" priority="10" id="{38D1C04B-D933-46D0-95A5-08373DE7AADF}">
            <xm:f>Controler!$J$8=11</xm:f>
            <x14:dxf>
              <fill>
                <patternFill>
                  <bgColor theme="5"/>
                </patternFill>
              </fill>
            </x14:dxf>
          </x14:cfRule>
          <xm:sqref>AX38:AY39</xm:sqref>
        </x14:conditionalFormatting>
        <x14:conditionalFormatting xmlns:xm="http://schemas.microsoft.com/office/excel/2006/main">
          <x14:cfRule type="expression" priority="246" id="{9FC8C82E-CB70-4CC5-9F32-22885E12AB8E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14:cfRule type="expression" priority="9" id="{4372E4B1-A259-4529-AEF4-4F5E5D95696E}">
            <xm:f>Controler!$J$8=12</xm:f>
            <x14:dxf>
              <fill>
                <patternFill>
                  <bgColor theme="5"/>
                </patternFill>
              </fill>
            </x14:dxf>
          </x14:cfRule>
          <xm:sqref>AJ40:AK41</xm:sqref>
        </x14:conditionalFormatting>
        <x14:conditionalFormatting xmlns:xm="http://schemas.microsoft.com/office/excel/2006/main">
          <x14:cfRule type="expression" priority="247" id="{25D8B0F6-4840-4C9E-AAF0-3940BFED148D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14:cfRule type="expression" priority="8" id="{8878751F-A203-4666-9CF7-5B16DD22A569}">
            <xm:f>Controler!$J$8=13</xm:f>
            <x14:dxf>
              <fill>
                <patternFill>
                  <bgColor theme="5"/>
                </patternFill>
              </fill>
            </x14:dxf>
          </x14:cfRule>
          <xm:sqref>AJ42:AK43</xm:sqref>
        </x14:conditionalFormatting>
        <x14:conditionalFormatting xmlns:xm="http://schemas.microsoft.com/office/excel/2006/main">
          <x14:cfRule type="expression" priority="248" id="{D34DD9F4-4BD2-40F2-9228-CBFD4CE4C799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14:cfRule type="expression" priority="7" id="{6DBC9251-88F4-4E79-9C07-CEB46FF926BF}">
            <xm:f>Controler!$J$8=14</xm:f>
            <x14:dxf>
              <fill>
                <patternFill>
                  <bgColor theme="5"/>
                </patternFill>
              </fill>
            </x14:dxf>
          </x14:cfRule>
          <xm:sqref>AJ44:AK45</xm:sqref>
        </x14:conditionalFormatting>
        <x14:conditionalFormatting xmlns:xm="http://schemas.microsoft.com/office/excel/2006/main">
          <x14:cfRule type="expression" priority="249" id="{4199C391-08B5-4810-A659-1A1A248E7516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14:cfRule type="expression" priority="6" id="{F9F3FE50-150F-4EC8-A8A3-A11364E36B5E}">
            <xm:f>Controler!$J$8=15</xm:f>
            <x14:dxf>
              <fill>
                <patternFill>
                  <bgColor theme="5"/>
                </patternFill>
              </fill>
            </x14:dxf>
          </x14:cfRule>
          <xm:sqref>AJ46:AK47</xm:sqref>
        </x14:conditionalFormatting>
        <x14:conditionalFormatting xmlns:xm="http://schemas.microsoft.com/office/excel/2006/main">
          <x14:cfRule type="expression" priority="250" id="{01EB5A00-66A0-4053-AD78-7F4B617E1FD6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14:cfRule type="expression" priority="5" id="{9F5FDE98-3F0A-483D-973F-C5A231385043}">
            <xm:f>Controler!$J$8=16</xm:f>
            <x14:dxf>
              <fill>
                <patternFill>
                  <bgColor theme="5"/>
                </patternFill>
              </fill>
            </x14:dxf>
          </x14:cfRule>
          <xm:sqref>AT40:AU41</xm:sqref>
        </x14:conditionalFormatting>
        <x14:conditionalFormatting xmlns:xm="http://schemas.microsoft.com/office/excel/2006/main">
          <x14:cfRule type="expression" priority="251" id="{82C08158-B31C-46E9-8C36-9064EBF2246E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14:cfRule type="expression" priority="4" id="{B10373DD-2723-4DDC-8FF6-3F658E94122C}">
            <xm:f>Controler!$J$8=17</xm:f>
            <x14:dxf>
              <fill>
                <patternFill>
                  <bgColor theme="5"/>
                </patternFill>
              </fill>
            </x14:dxf>
          </x14:cfRule>
          <xm:sqref>AT42:AU43</xm:sqref>
        </x14:conditionalFormatting>
        <x14:conditionalFormatting xmlns:xm="http://schemas.microsoft.com/office/excel/2006/main">
          <x14:cfRule type="expression" priority="252" id="{A47E913C-2DCD-4742-B8F0-94E9404427B6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14:cfRule type="expression" priority="3" id="{FE0A3BE3-57B6-4C77-BAF0-D737B8E5F0E2}">
            <xm:f>Controler!$J$8=18</xm:f>
            <x14:dxf>
              <fill>
                <patternFill>
                  <bgColor theme="5"/>
                </patternFill>
              </fill>
            </x14:dxf>
          </x14:cfRule>
          <xm:sqref>AT44:AU45</xm:sqref>
        </x14:conditionalFormatting>
        <x14:conditionalFormatting xmlns:xm="http://schemas.microsoft.com/office/excel/2006/main">
          <x14:cfRule type="expression" priority="253" id="{E04D8F46-766A-45E0-85D0-1158AD63C7A6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14:cfRule type="expression" priority="2" id="{EE0EFB61-AC2D-42BD-BF3E-B99182E12EEF}">
            <xm:f>Controler!$J$8=19</xm:f>
            <x14:dxf>
              <fill>
                <patternFill>
                  <bgColor theme="5"/>
                </patternFill>
              </fill>
            </x14:dxf>
          </x14:cfRule>
          <xm:sqref>AT46:AU47</xm:sqref>
        </x14:conditionalFormatting>
        <x14:conditionalFormatting xmlns:xm="http://schemas.microsoft.com/office/excel/2006/main">
          <x14:cfRule type="expression" priority="1" id="{91A23286-B885-4A52-8D9F-E4B6D17270E9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I20:J21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368A12-FC48-413B-82DD-19BDD2AB2FF7}">
  <sheetPr codeName="Feuil3">
    <pageSetUpPr fitToPage="1"/>
  </sheetPr>
  <dimension ref="B2:AZ76"/>
  <sheetViews>
    <sheetView zoomScale="30" zoomScaleNormal="30" workbookViewId="0">
      <selection activeCell="Z47" sqref="Z47"/>
    </sheetView>
  </sheetViews>
  <sheetFormatPr baseColWidth="10" defaultRowHeight="14.5" x14ac:dyDescent="0.35"/>
  <cols>
    <col min="1" max="1" width="5.7265625" customWidth="1"/>
  </cols>
  <sheetData>
    <row r="2" spans="2:52" ht="14.5" customHeight="1" x14ac:dyDescent="0.35">
      <c r="B2" s="345" t="s">
        <v>69</v>
      </c>
      <c r="C2" s="345"/>
      <c r="D2" s="345"/>
      <c r="E2" s="345"/>
      <c r="F2" s="345"/>
      <c r="G2" s="345"/>
      <c r="H2" s="345"/>
      <c r="I2" s="345"/>
      <c r="J2" s="345"/>
      <c r="K2" s="345"/>
      <c r="L2" s="345"/>
      <c r="M2" s="345"/>
      <c r="N2" s="345"/>
      <c r="O2" s="345"/>
      <c r="P2" s="345"/>
      <c r="Q2" s="345"/>
      <c r="R2" s="345"/>
      <c r="S2" s="345"/>
      <c r="T2" s="345"/>
      <c r="U2" s="345"/>
      <c r="V2" s="345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  <c r="AH2" s="345"/>
      <c r="AI2" s="345"/>
      <c r="AJ2" s="345"/>
      <c r="AK2" s="345"/>
      <c r="AL2" s="345"/>
      <c r="AM2" s="345"/>
      <c r="AN2" s="345"/>
      <c r="AO2" s="345"/>
      <c r="AP2" s="345"/>
      <c r="AQ2" s="345"/>
      <c r="AR2" s="345"/>
      <c r="AS2" s="345"/>
      <c r="AT2" s="345"/>
      <c r="AU2" s="345"/>
      <c r="AV2" s="345"/>
      <c r="AW2" s="345"/>
      <c r="AX2" s="345"/>
      <c r="AY2" s="345"/>
      <c r="AZ2" s="345"/>
    </row>
    <row r="3" spans="2:52" ht="14.5" customHeight="1" x14ac:dyDescent="0.35">
      <c r="B3" s="345"/>
      <c r="C3" s="345"/>
      <c r="D3" s="345"/>
      <c r="E3" s="345"/>
      <c r="F3" s="345"/>
      <c r="G3" s="345"/>
      <c r="H3" s="345"/>
      <c r="I3" s="345"/>
      <c r="J3" s="345"/>
      <c r="K3" s="345"/>
      <c r="L3" s="345"/>
      <c r="M3" s="345"/>
      <c r="N3" s="345"/>
      <c r="O3" s="345"/>
      <c r="P3" s="345"/>
      <c r="Q3" s="345"/>
      <c r="R3" s="345"/>
      <c r="S3" s="345"/>
      <c r="T3" s="345"/>
      <c r="U3" s="345"/>
      <c r="V3" s="345"/>
      <c r="W3" s="345"/>
      <c r="X3" s="345"/>
      <c r="Y3" s="345"/>
      <c r="Z3" s="345"/>
      <c r="AA3" s="345"/>
      <c r="AB3" s="345"/>
      <c r="AC3" s="345"/>
      <c r="AD3" s="345"/>
      <c r="AE3" s="345"/>
      <c r="AF3" s="345"/>
      <c r="AG3" s="345"/>
      <c r="AH3" s="345"/>
      <c r="AI3" s="345"/>
      <c r="AJ3" s="345"/>
      <c r="AK3" s="345"/>
      <c r="AL3" s="345"/>
      <c r="AM3" s="345"/>
      <c r="AN3" s="345"/>
      <c r="AO3" s="345"/>
      <c r="AP3" s="345"/>
      <c r="AQ3" s="345"/>
      <c r="AR3" s="345"/>
      <c r="AS3" s="345"/>
      <c r="AT3" s="345"/>
      <c r="AU3" s="345"/>
      <c r="AV3" s="345"/>
      <c r="AW3" s="345"/>
      <c r="AX3" s="345"/>
      <c r="AY3" s="345"/>
      <c r="AZ3" s="345"/>
    </row>
    <row r="4" spans="2:52" ht="15.5" x14ac:dyDescent="0.45">
      <c r="B4" s="30"/>
      <c r="C4" s="30"/>
      <c r="D4" s="30"/>
      <c r="E4" s="30"/>
      <c r="F4" s="30"/>
      <c r="G4" s="30"/>
      <c r="H4" s="30"/>
      <c r="I4" s="30"/>
      <c r="J4" s="30"/>
      <c r="K4" s="30"/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</row>
    <row r="5" spans="2:52" ht="16" thickBot="1" x14ac:dyDescent="0.5">
      <c r="B5" s="30"/>
      <c r="C5" s="30"/>
      <c r="D5" s="30"/>
      <c r="E5" s="30"/>
      <c r="F5" s="30"/>
      <c r="G5" s="30"/>
      <c r="H5" s="30"/>
      <c r="I5" s="30"/>
      <c r="J5" s="30"/>
      <c r="K5" s="30"/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</row>
    <row r="6" spans="2:52" ht="15" customHeight="1" thickTop="1" x14ac:dyDescent="0.35">
      <c r="B6" s="299" t="s">
        <v>3</v>
      </c>
      <c r="C6" s="300"/>
      <c r="D6" s="300"/>
      <c r="E6" s="300"/>
      <c r="F6" s="300"/>
      <c r="G6" s="300"/>
      <c r="H6" s="300"/>
      <c r="I6" s="300"/>
      <c r="J6" s="300"/>
      <c r="K6" s="300"/>
      <c r="L6" s="300"/>
      <c r="M6" s="300"/>
      <c r="N6" s="300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1"/>
      <c r="AB6" s="299" t="s">
        <v>5</v>
      </c>
      <c r="AC6" s="300"/>
      <c r="AD6" s="300"/>
      <c r="AE6" s="300"/>
      <c r="AF6" s="300"/>
      <c r="AG6" s="300"/>
      <c r="AH6" s="300"/>
      <c r="AI6" s="300"/>
      <c r="AJ6" s="300"/>
      <c r="AK6" s="300"/>
      <c r="AL6" s="300"/>
      <c r="AM6" s="300"/>
      <c r="AN6" s="300"/>
      <c r="AO6" s="300"/>
      <c r="AP6" s="300"/>
      <c r="AQ6" s="300"/>
      <c r="AR6" s="300"/>
      <c r="AS6" s="300"/>
      <c r="AT6" s="300"/>
      <c r="AU6" s="300"/>
      <c r="AV6" s="300"/>
      <c r="AW6" s="300"/>
      <c r="AX6" s="300"/>
      <c r="AY6" s="300"/>
      <c r="AZ6" s="301"/>
    </row>
    <row r="7" spans="2:52" ht="14.5" customHeight="1" x14ac:dyDescent="0.35">
      <c r="B7" s="302"/>
      <c r="C7" s="303"/>
      <c r="D7" s="303"/>
      <c r="E7" s="303"/>
      <c r="F7" s="303"/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/>
      <c r="R7" s="303"/>
      <c r="S7" s="303"/>
      <c r="T7" s="303"/>
      <c r="U7" s="303"/>
      <c r="V7" s="303"/>
      <c r="W7" s="303"/>
      <c r="X7" s="303"/>
      <c r="Y7" s="303"/>
      <c r="Z7" s="304"/>
      <c r="AB7" s="302"/>
      <c r="AC7" s="303"/>
      <c r="AD7" s="303"/>
      <c r="AE7" s="303"/>
      <c r="AF7" s="303"/>
      <c r="AG7" s="303"/>
      <c r="AH7" s="303"/>
      <c r="AI7" s="303"/>
      <c r="AJ7" s="303"/>
      <c r="AK7" s="303"/>
      <c r="AL7" s="303"/>
      <c r="AM7" s="303"/>
      <c r="AN7" s="303"/>
      <c r="AO7" s="303"/>
      <c r="AP7" s="303"/>
      <c r="AQ7" s="303"/>
      <c r="AR7" s="303"/>
      <c r="AS7" s="303"/>
      <c r="AT7" s="303"/>
      <c r="AU7" s="303"/>
      <c r="AV7" s="303"/>
      <c r="AW7" s="303"/>
      <c r="AX7" s="303"/>
      <c r="AY7" s="303"/>
      <c r="AZ7" s="304"/>
    </row>
    <row r="8" spans="2:52" ht="25.5" thickBot="1" x14ac:dyDescent="0.5">
      <c r="B8" s="116"/>
      <c r="C8" s="311">
        <v>1</v>
      </c>
      <c r="D8" s="311"/>
      <c r="E8" s="311">
        <v>2</v>
      </c>
      <c r="F8" s="311"/>
      <c r="G8" s="311">
        <v>3</v>
      </c>
      <c r="H8" s="311"/>
      <c r="I8" s="311">
        <v>4</v>
      </c>
      <c r="J8" s="311"/>
      <c r="K8" s="311">
        <v>5</v>
      </c>
      <c r="L8" s="311"/>
      <c r="M8" s="311">
        <v>6</v>
      </c>
      <c r="N8" s="311"/>
      <c r="O8" s="311">
        <v>7</v>
      </c>
      <c r="P8" s="311"/>
      <c r="Q8" s="311">
        <v>8</v>
      </c>
      <c r="R8" s="311"/>
      <c r="S8" s="311">
        <v>9</v>
      </c>
      <c r="T8" s="311"/>
      <c r="U8" s="311">
        <v>10</v>
      </c>
      <c r="V8" s="311"/>
      <c r="W8" s="311">
        <v>11</v>
      </c>
      <c r="X8" s="311"/>
      <c r="Y8" s="311">
        <v>12</v>
      </c>
      <c r="Z8" s="332"/>
      <c r="AB8" s="116"/>
      <c r="AC8" s="311">
        <v>1</v>
      </c>
      <c r="AD8" s="311"/>
      <c r="AE8" s="311">
        <v>2</v>
      </c>
      <c r="AF8" s="311"/>
      <c r="AG8" s="311">
        <v>3</v>
      </c>
      <c r="AH8" s="311"/>
      <c r="AI8" s="311">
        <v>4</v>
      </c>
      <c r="AJ8" s="311"/>
      <c r="AK8" s="311">
        <v>5</v>
      </c>
      <c r="AL8" s="311"/>
      <c r="AM8" s="311">
        <v>6</v>
      </c>
      <c r="AN8" s="311"/>
      <c r="AO8" s="311">
        <v>7</v>
      </c>
      <c r="AP8" s="311"/>
      <c r="AQ8" s="311">
        <v>8</v>
      </c>
      <c r="AR8" s="311"/>
      <c r="AS8" s="311">
        <v>9</v>
      </c>
      <c r="AT8" s="311"/>
      <c r="AU8" s="311">
        <v>10</v>
      </c>
      <c r="AV8" s="311"/>
      <c r="AW8" s="311">
        <v>11</v>
      </c>
      <c r="AX8" s="311"/>
      <c r="AY8" s="311">
        <v>12</v>
      </c>
      <c r="AZ8" s="332"/>
    </row>
    <row r="9" spans="2:52" ht="26" thickTop="1" thickBot="1" x14ac:dyDescent="0.4">
      <c r="B9" s="321" t="s">
        <v>58</v>
      </c>
      <c r="C9" s="118">
        <v>0</v>
      </c>
      <c r="D9" s="119"/>
      <c r="E9" s="205">
        <v>8</v>
      </c>
      <c r="F9" s="206"/>
      <c r="G9" s="122">
        <v>16</v>
      </c>
      <c r="H9" s="123"/>
      <c r="I9" s="126">
        <v>24</v>
      </c>
      <c r="J9" s="127"/>
      <c r="K9" s="126">
        <v>32</v>
      </c>
      <c r="L9" s="127"/>
      <c r="M9" s="146">
        <v>40</v>
      </c>
      <c r="N9" s="147"/>
      <c r="O9" s="148">
        <v>48</v>
      </c>
      <c r="P9" s="147"/>
      <c r="Q9" s="148">
        <v>56</v>
      </c>
      <c r="R9" s="147"/>
      <c r="S9" s="148">
        <v>64</v>
      </c>
      <c r="T9" s="149"/>
      <c r="U9" s="150">
        <v>72</v>
      </c>
      <c r="V9" s="160" t="s">
        <v>94</v>
      </c>
      <c r="W9" s="150">
        <v>80</v>
      </c>
      <c r="X9" s="161" t="s">
        <v>95</v>
      </c>
      <c r="Y9" s="150">
        <v>88</v>
      </c>
      <c r="Z9" s="151"/>
      <c r="AB9" s="321" t="s">
        <v>58</v>
      </c>
      <c r="AC9" s="31">
        <v>0</v>
      </c>
      <c r="AD9" s="32"/>
      <c r="AE9" s="31">
        <v>8</v>
      </c>
      <c r="AF9" s="32"/>
      <c r="AG9" s="31">
        <v>16</v>
      </c>
      <c r="AH9" s="32"/>
      <c r="AI9" s="31">
        <v>24</v>
      </c>
      <c r="AJ9" s="32"/>
      <c r="AK9" s="31">
        <v>32</v>
      </c>
      <c r="AL9" s="32"/>
      <c r="AM9" s="31">
        <v>40</v>
      </c>
      <c r="AN9" s="32"/>
      <c r="AO9" s="31">
        <v>48</v>
      </c>
      <c r="AP9" s="32"/>
      <c r="AQ9" s="31">
        <v>56</v>
      </c>
      <c r="AR9" s="32"/>
      <c r="AS9" s="31">
        <v>64</v>
      </c>
      <c r="AT9" s="32"/>
      <c r="AU9" s="31">
        <v>72</v>
      </c>
      <c r="AV9" s="32"/>
      <c r="AW9" s="31">
        <v>80</v>
      </c>
      <c r="AX9" s="32"/>
      <c r="AY9" s="31">
        <v>88</v>
      </c>
      <c r="AZ9" s="32"/>
    </row>
    <row r="10" spans="2:52" ht="25.5" thickBot="1" x14ac:dyDescent="0.4">
      <c r="B10" s="321"/>
      <c r="C10" s="120"/>
      <c r="D10" s="121" t="s">
        <v>73</v>
      </c>
      <c r="E10" s="207"/>
      <c r="F10" s="208" t="str">
        <f>IF(Controler!$J$8&gt;=8,"P8"," ")</f>
        <v>P8</v>
      </c>
      <c r="G10" s="124"/>
      <c r="H10" s="125" t="str">
        <f>IF(Controler!$J$8&gt;=16,"P16"," ")</f>
        <v xml:space="preserve"> </v>
      </c>
      <c r="I10" s="128"/>
      <c r="J10" s="129"/>
      <c r="K10" s="128"/>
      <c r="L10" s="129"/>
      <c r="M10" s="152"/>
      <c r="N10" s="153" t="s">
        <v>75</v>
      </c>
      <c r="O10" s="154"/>
      <c r="P10" s="153" t="s">
        <v>77</v>
      </c>
      <c r="Q10" s="154"/>
      <c r="R10" s="153" t="s">
        <v>78</v>
      </c>
      <c r="S10" s="154"/>
      <c r="T10" s="155" t="s">
        <v>79</v>
      </c>
      <c r="U10" s="156" t="s">
        <v>93</v>
      </c>
      <c r="V10" s="145" t="s">
        <v>80</v>
      </c>
      <c r="W10" s="156" t="s">
        <v>93</v>
      </c>
      <c r="X10" s="157" t="s">
        <v>80</v>
      </c>
      <c r="Y10" s="158"/>
      <c r="Z10" s="159" t="s">
        <v>81</v>
      </c>
      <c r="AB10" s="321"/>
      <c r="AC10" s="33"/>
      <c r="AD10" s="34" t="str">
        <f>IF(Controler!$J$8&gt;=1,"1"," ")</f>
        <v>1</v>
      </c>
      <c r="AE10" s="33"/>
      <c r="AF10" s="34" t="str">
        <f>IF(Controler!$J$8&gt;=1,"1"," ")</f>
        <v>1</v>
      </c>
      <c r="AG10" s="33"/>
      <c r="AH10" s="34" t="str">
        <f>IF(Controler!$J$8&gt;=2,"2"," ")</f>
        <v>2</v>
      </c>
      <c r="AI10" s="33"/>
      <c r="AJ10" s="34" t="str">
        <f>IF(Controler!$J$8&gt;=3,"3"," ")</f>
        <v>3</v>
      </c>
      <c r="AK10" s="33"/>
      <c r="AL10" s="34" t="str">
        <f>IF(Controler!$J$8&gt;=4,"4"," ")</f>
        <v>4</v>
      </c>
      <c r="AM10" s="33"/>
      <c r="AN10" s="34" t="str" cm="1">
        <f t="array" ref="AN10">_xlfn.IFS(Controler!$J$8&gt;4,"5",Controler!$J$8=4,"Sample",Controler!$J$8&lt;4,"")</f>
        <v>5</v>
      </c>
      <c r="AO10" s="33"/>
      <c r="AP10" s="34" t="str">
        <f>IF(Controler!$J$8&gt;=5,"5"," ")</f>
        <v>5</v>
      </c>
      <c r="AQ10" s="33"/>
      <c r="AR10" s="34" t="str">
        <f>IF(Controler!$J$8&gt;=6,"6"," ")</f>
        <v>6</v>
      </c>
      <c r="AS10" s="33"/>
      <c r="AT10" s="34" t="str">
        <f>IF(Controler!$J$8&gt;=7,"7"," ")</f>
        <v>7</v>
      </c>
      <c r="AU10" s="33"/>
      <c r="AV10" s="34" t="str">
        <f>IF(Controler!$J$8&gt;=8,"8"," ")</f>
        <v>8</v>
      </c>
      <c r="AW10" s="33"/>
      <c r="AX10" s="34" t="str" cm="1">
        <f t="array" ref="AX10">_xlfn.IFS(Controler!$J$8&gt;8,"9",Controler!$J$8=8,"Sample",Controler!$J$8&lt;8,"")</f>
        <v>9</v>
      </c>
      <c r="AY10" s="33"/>
      <c r="AZ10" s="34" t="str">
        <f>IF(Controler!$J$8&gt;=9,"9"," ")</f>
        <v>9</v>
      </c>
    </row>
    <row r="11" spans="2:52" ht="26" thickTop="1" thickBot="1" x14ac:dyDescent="0.4">
      <c r="B11" s="321" t="s">
        <v>66</v>
      </c>
      <c r="C11" s="122">
        <v>1</v>
      </c>
      <c r="D11" s="123"/>
      <c r="E11" s="209">
        <v>9</v>
      </c>
      <c r="F11" s="210"/>
      <c r="G11" s="122">
        <v>17</v>
      </c>
      <c r="H11" s="123"/>
      <c r="I11" s="126">
        <v>25</v>
      </c>
      <c r="J11" s="127"/>
      <c r="K11" s="126">
        <v>33</v>
      </c>
      <c r="L11" s="127"/>
      <c r="M11" s="36">
        <v>41</v>
      </c>
      <c r="N11" s="37"/>
      <c r="O11" s="36">
        <v>49</v>
      </c>
      <c r="P11" s="37"/>
      <c r="Q11" s="36">
        <v>57</v>
      </c>
      <c r="R11" s="37"/>
      <c r="S11" s="36">
        <v>65</v>
      </c>
      <c r="T11" s="37"/>
      <c r="U11" s="36">
        <v>73</v>
      </c>
      <c r="V11" s="37"/>
      <c r="W11" s="36">
        <v>81</v>
      </c>
      <c r="X11" s="37"/>
      <c r="Y11" s="36">
        <v>89</v>
      </c>
      <c r="Z11" s="98"/>
      <c r="AB11" s="321" t="s">
        <v>66</v>
      </c>
      <c r="AC11" s="31">
        <v>1</v>
      </c>
      <c r="AD11" s="32"/>
      <c r="AE11" s="31">
        <v>9</v>
      </c>
      <c r="AF11" s="32"/>
      <c r="AG11" s="31">
        <v>17</v>
      </c>
      <c r="AH11" s="32"/>
      <c r="AI11" s="31">
        <v>25</v>
      </c>
      <c r="AJ11" s="32"/>
      <c r="AK11" s="31">
        <v>33</v>
      </c>
      <c r="AL11" s="32"/>
      <c r="AM11" s="31">
        <v>41</v>
      </c>
      <c r="AN11" s="32"/>
      <c r="AO11" s="31">
        <v>49</v>
      </c>
      <c r="AP11" s="32"/>
      <c r="AQ11" s="31">
        <v>57</v>
      </c>
      <c r="AR11" s="32"/>
      <c r="AS11" s="31">
        <v>65</v>
      </c>
      <c r="AT11" s="32"/>
      <c r="AU11" s="31">
        <v>73</v>
      </c>
      <c r="AV11" s="32"/>
      <c r="AW11" s="31">
        <v>81</v>
      </c>
      <c r="AX11" s="32"/>
      <c r="AY11" s="31">
        <v>89</v>
      </c>
      <c r="AZ11" s="32"/>
    </row>
    <row r="12" spans="2:52" ht="25.5" thickBot="1" x14ac:dyDescent="0.4">
      <c r="B12" s="321"/>
      <c r="C12" s="124"/>
      <c r="D12" s="211" t="str">
        <f>IF(Controler!$J$8&gt;=1,"P1"," ")</f>
        <v>P1</v>
      </c>
      <c r="E12" s="124"/>
      <c r="F12" s="125" t="str">
        <f>IF(Controler!$J$8&gt;=9,"P9"," ")</f>
        <v>P9</v>
      </c>
      <c r="G12" s="124"/>
      <c r="H12" s="125" t="str">
        <f>IF(Controler!$J$8&gt;=17,"P17"," ")</f>
        <v xml:space="preserve"> </v>
      </c>
      <c r="I12" s="128"/>
      <c r="J12" s="129"/>
      <c r="K12" s="128"/>
      <c r="L12" s="129"/>
      <c r="M12" s="38"/>
      <c r="N12" s="39"/>
      <c r="O12" s="38"/>
      <c r="P12" s="39"/>
      <c r="Q12" s="38"/>
      <c r="R12" s="39"/>
      <c r="S12" s="38"/>
      <c r="T12" s="39"/>
      <c r="U12" s="38"/>
      <c r="V12" s="39"/>
      <c r="W12" s="38"/>
      <c r="X12" s="39"/>
      <c r="Y12" s="38"/>
      <c r="Z12" s="99"/>
      <c r="AB12" s="321"/>
      <c r="AC12" s="33"/>
      <c r="AD12" s="243" t="str" cm="1">
        <f t="array" ref="AD12">_xlfn.IFS(Controler!$J$8&gt;1,"2",Controler!$J$8=1,"Sample")</f>
        <v>2</v>
      </c>
      <c r="AE12" s="33"/>
      <c r="AF12" s="34" t="str">
        <f>IF(Controler!$J$8&gt;=1,"1"," ")</f>
        <v>1</v>
      </c>
      <c r="AG12" s="33"/>
      <c r="AH12" s="34" t="str">
        <f>IF(Controler!$J$8&gt;=2,"2"," ")</f>
        <v>2</v>
      </c>
      <c r="AI12" s="33"/>
      <c r="AJ12" s="34" t="str">
        <f>IF(Controler!$J$8&gt;=3,"3"," ")</f>
        <v>3</v>
      </c>
      <c r="AK12" s="33"/>
      <c r="AL12" s="34" t="str">
        <f>IF(Controler!$J$8&gt;=4,"4"," ")</f>
        <v>4</v>
      </c>
      <c r="AM12" s="33"/>
      <c r="AN12" s="34" t="str" cm="1">
        <f t="array" ref="AN12">_xlfn.IFS(Controler!$J$8&gt;5,"6",Controler!$J$8=5,"Sample",Controler!$J$8&lt;5,"")</f>
        <v>6</v>
      </c>
      <c r="AO12" s="33"/>
      <c r="AP12" s="34" t="str">
        <f>IF(Controler!$J$8&gt;=5,"5"," ")</f>
        <v>5</v>
      </c>
      <c r="AQ12" s="33"/>
      <c r="AR12" s="34" t="str">
        <f>IF(Controler!$J$8&gt;=6,"6"," ")</f>
        <v>6</v>
      </c>
      <c r="AS12" s="33"/>
      <c r="AT12" s="34" t="str">
        <f>IF(Controler!$J$8&gt;=7,"7"," ")</f>
        <v>7</v>
      </c>
      <c r="AU12" s="33"/>
      <c r="AV12" s="34" t="str">
        <f>IF(Controler!$J$8&gt;=7,"8"," ")</f>
        <v>8</v>
      </c>
      <c r="AW12" s="33"/>
      <c r="AX12" s="34" t="str" cm="1">
        <f t="array" ref="AX12">_xlfn.IFS(Controler!$J$8&gt;9,"10",Controler!$J$8=9,"Sample",Controler!$J$8&lt;9,"")</f>
        <v>10</v>
      </c>
      <c r="AY12" s="33"/>
      <c r="AZ12" s="34" t="str">
        <f>IF(Controler!$J$8&gt;=9,"9"," ")</f>
        <v>9</v>
      </c>
    </row>
    <row r="13" spans="2:52" ht="26" thickTop="1" thickBot="1" x14ac:dyDescent="0.4">
      <c r="B13" s="321" t="s">
        <v>63</v>
      </c>
      <c r="C13" s="181">
        <v>2</v>
      </c>
      <c r="D13" s="182"/>
      <c r="E13" s="122">
        <v>10</v>
      </c>
      <c r="F13" s="123"/>
      <c r="G13" s="122">
        <v>18</v>
      </c>
      <c r="H13" s="123"/>
      <c r="I13" s="126">
        <v>26</v>
      </c>
      <c r="J13" s="127"/>
      <c r="K13" s="126">
        <v>34</v>
      </c>
      <c r="L13" s="127"/>
      <c r="M13" s="36">
        <v>42</v>
      </c>
      <c r="N13" s="37"/>
      <c r="O13" s="36">
        <v>50</v>
      </c>
      <c r="P13" s="37"/>
      <c r="Q13" s="36">
        <v>58</v>
      </c>
      <c r="R13" s="37"/>
      <c r="S13" s="36">
        <v>66</v>
      </c>
      <c r="T13" s="37"/>
      <c r="U13" s="36">
        <v>74</v>
      </c>
      <c r="V13" s="37"/>
      <c r="W13" s="36">
        <v>82</v>
      </c>
      <c r="X13" s="37"/>
      <c r="Y13" s="36">
        <v>90</v>
      </c>
      <c r="Z13" s="98"/>
      <c r="AB13" s="321" t="s">
        <v>63</v>
      </c>
      <c r="AC13" s="31">
        <v>2</v>
      </c>
      <c r="AD13" s="32"/>
      <c r="AE13" s="31">
        <v>10</v>
      </c>
      <c r="AF13" s="32"/>
      <c r="AG13" s="31">
        <v>18</v>
      </c>
      <c r="AH13" s="32"/>
      <c r="AI13" s="31">
        <v>26</v>
      </c>
      <c r="AJ13" s="32"/>
      <c r="AK13" s="31">
        <v>34</v>
      </c>
      <c r="AL13" s="32"/>
      <c r="AM13" s="31">
        <v>42</v>
      </c>
      <c r="AN13" s="32"/>
      <c r="AO13" s="31">
        <v>50</v>
      </c>
      <c r="AP13" s="32"/>
      <c r="AQ13" s="31">
        <v>58</v>
      </c>
      <c r="AR13" s="32"/>
      <c r="AS13" s="31">
        <v>66</v>
      </c>
      <c r="AT13" s="32"/>
      <c r="AU13" s="31">
        <v>74</v>
      </c>
      <c r="AV13" s="32"/>
      <c r="AW13" s="31">
        <v>82</v>
      </c>
      <c r="AX13" s="32"/>
      <c r="AY13" s="31">
        <v>90</v>
      </c>
      <c r="AZ13" s="32"/>
    </row>
    <row r="14" spans="2:52" ht="25.5" thickBot="1" x14ac:dyDescent="0.4">
      <c r="B14" s="321"/>
      <c r="C14" s="183"/>
      <c r="D14" s="184" t="str">
        <f>IF(Controler!$J$8&gt;=2,"P2"," ")</f>
        <v>P2</v>
      </c>
      <c r="E14" s="124"/>
      <c r="F14" s="125" t="str">
        <f>IF(Controler!$J$8&gt;=10,"P10"," ")</f>
        <v>P10</v>
      </c>
      <c r="G14" s="124"/>
      <c r="H14" s="125" t="str">
        <f>IF(Controler!$J$8&gt;=18,"P18"," ")</f>
        <v xml:space="preserve"> </v>
      </c>
      <c r="I14" s="128"/>
      <c r="J14" s="129"/>
      <c r="K14" s="128"/>
      <c r="L14" s="129"/>
      <c r="M14" s="38"/>
      <c r="N14" s="39"/>
      <c r="O14" s="38"/>
      <c r="P14" s="39"/>
      <c r="Q14" s="38"/>
      <c r="R14" s="39"/>
      <c r="S14" s="38"/>
      <c r="T14" s="39"/>
      <c r="U14" s="38"/>
      <c r="V14" s="39"/>
      <c r="W14" s="38"/>
      <c r="X14" s="39"/>
      <c r="Y14" s="38"/>
      <c r="Z14" s="99"/>
      <c r="AB14" s="321"/>
      <c r="AC14" s="33"/>
      <c r="AD14" s="34" t="str" cm="1">
        <f t="array" ref="AD14">_xlfn.IFS(Controler!$J$8&gt;AC13,"3",Controler!$J$8=AC13,"Sample",Controler!$J$8&lt;AC13,"")</f>
        <v>3</v>
      </c>
      <c r="AE14" s="33"/>
      <c r="AF14" s="34" t="str">
        <f>IF(Controler!$J$8&gt;=1,"1"," ")</f>
        <v>1</v>
      </c>
      <c r="AG14" s="33"/>
      <c r="AH14" s="34" t="str">
        <f>IF(Controler!$J$8&gt;=2,"2"," ")</f>
        <v>2</v>
      </c>
      <c r="AI14" s="33"/>
      <c r="AJ14" s="34" t="str">
        <f>IF(Controler!$J$8&gt;=3,"3"," ")</f>
        <v>3</v>
      </c>
      <c r="AK14" s="33"/>
      <c r="AL14" s="34" t="str">
        <f>IF(Controler!$J$8&gt;=4,"4"," ")</f>
        <v>4</v>
      </c>
      <c r="AM14" s="33"/>
      <c r="AN14" s="34" t="str" cm="1">
        <f t="array" ref="AN14">_xlfn.IFS(Controler!$J$8&gt;6,"7",Controler!$J$8=6,"Sample",Controler!$J$8&lt;6,"")</f>
        <v>7</v>
      </c>
      <c r="AO14" s="33"/>
      <c r="AP14" s="34" t="str">
        <f>IF(Controler!$J$8&gt;=5,"5"," ")</f>
        <v>5</v>
      </c>
      <c r="AQ14" s="33"/>
      <c r="AR14" s="34" t="str">
        <f>IF(Controler!$J$8&gt;=6,"6"," ")</f>
        <v>6</v>
      </c>
      <c r="AS14" s="33"/>
      <c r="AT14" s="34" t="str">
        <f>IF(Controler!$J$8&gt;=7,"7"," ")</f>
        <v>7</v>
      </c>
      <c r="AU14" s="33"/>
      <c r="AV14" s="34" t="str">
        <f>IF(Controler!$J$8&gt;=7,"8"," ")</f>
        <v>8</v>
      </c>
      <c r="AW14" s="33"/>
      <c r="AX14" s="34" t="str" cm="1">
        <f t="array" ref="AX14">_xlfn.IFS(Controler!$J$8&gt;10,"11",Controler!$J$8=10,"Sample",Controler!$J$8&lt;10,"")</f>
        <v>11</v>
      </c>
      <c r="AY14" s="33"/>
      <c r="AZ14" s="34" t="str">
        <f>IF(Controler!$J$8&gt;=9,"9"," ")</f>
        <v>9</v>
      </c>
    </row>
    <row r="15" spans="2:52" ht="26" thickTop="1" thickBot="1" x14ac:dyDescent="0.4">
      <c r="B15" s="321" t="s">
        <v>61</v>
      </c>
      <c r="C15" s="185">
        <v>3</v>
      </c>
      <c r="D15" s="186"/>
      <c r="E15" s="122">
        <v>11</v>
      </c>
      <c r="F15" s="123"/>
      <c r="G15" s="122">
        <v>19</v>
      </c>
      <c r="H15" s="123"/>
      <c r="I15" s="126">
        <v>27</v>
      </c>
      <c r="J15" s="127"/>
      <c r="K15" s="126">
        <v>35</v>
      </c>
      <c r="L15" s="127"/>
      <c r="M15" s="36">
        <v>43</v>
      </c>
      <c r="N15" s="37"/>
      <c r="O15" s="36">
        <v>51</v>
      </c>
      <c r="P15" s="37"/>
      <c r="Q15" s="36">
        <v>59</v>
      </c>
      <c r="R15" s="37"/>
      <c r="S15" s="36">
        <v>67</v>
      </c>
      <c r="T15" s="37"/>
      <c r="U15" s="36">
        <v>75</v>
      </c>
      <c r="V15" s="37"/>
      <c r="W15" s="36">
        <v>83</v>
      </c>
      <c r="X15" s="37"/>
      <c r="Y15" s="36">
        <v>91</v>
      </c>
      <c r="Z15" s="98"/>
      <c r="AB15" s="321" t="s">
        <v>61</v>
      </c>
      <c r="AC15" s="31">
        <v>3</v>
      </c>
      <c r="AD15" s="32"/>
      <c r="AE15" s="31">
        <v>11</v>
      </c>
      <c r="AF15" s="32"/>
      <c r="AG15" s="31">
        <v>19</v>
      </c>
      <c r="AH15" s="32"/>
      <c r="AI15" s="31">
        <v>27</v>
      </c>
      <c r="AJ15" s="32"/>
      <c r="AK15" s="31">
        <v>35</v>
      </c>
      <c r="AL15" s="32"/>
      <c r="AM15" s="31">
        <v>43</v>
      </c>
      <c r="AN15" s="32"/>
      <c r="AO15" s="31">
        <v>51</v>
      </c>
      <c r="AP15" s="32"/>
      <c r="AQ15" s="31">
        <v>59</v>
      </c>
      <c r="AR15" s="32"/>
      <c r="AS15" s="31">
        <v>67</v>
      </c>
      <c r="AT15" s="32"/>
      <c r="AU15" s="31">
        <v>75</v>
      </c>
      <c r="AV15" s="32"/>
      <c r="AW15" s="31">
        <v>83</v>
      </c>
      <c r="AX15" s="32"/>
      <c r="AY15" s="31">
        <v>91</v>
      </c>
      <c r="AZ15" s="32"/>
    </row>
    <row r="16" spans="2:52" ht="25.5" thickBot="1" x14ac:dyDescent="0.4">
      <c r="B16" s="321"/>
      <c r="C16" s="187"/>
      <c r="D16" s="188" t="str">
        <f>IF(Controler!$J$8&gt;=3,"P3"," ")</f>
        <v>P3</v>
      </c>
      <c r="E16" s="124"/>
      <c r="F16" s="125" t="str">
        <f>IF(Controler!$J$8&gt;=11,"P11"," ")</f>
        <v>P11</v>
      </c>
      <c r="G16" s="124"/>
      <c r="H16" s="125" t="str">
        <f>IF(Controler!$J$8&gt;=19,"P19"," ")</f>
        <v xml:space="preserve"> </v>
      </c>
      <c r="I16" s="128"/>
      <c r="J16" s="129"/>
      <c r="K16" s="128"/>
      <c r="L16" s="129"/>
      <c r="M16" s="38"/>
      <c r="N16" s="39"/>
      <c r="O16" s="38"/>
      <c r="P16" s="39"/>
      <c r="Q16" s="38"/>
      <c r="R16" s="39"/>
      <c r="S16" s="38"/>
      <c r="T16" s="39"/>
      <c r="U16" s="38"/>
      <c r="V16" s="39"/>
      <c r="W16" s="38"/>
      <c r="X16" s="39"/>
      <c r="Y16" s="38"/>
      <c r="Z16" s="99"/>
      <c r="AB16" s="321"/>
      <c r="AC16" s="33"/>
      <c r="AD16" s="34" t="str" cm="1">
        <f t="array" ref="AD16">_xlfn.IFS(Controler!$J$8&gt;AC15,"4",Controler!$J$8=AC15,"Sample",Controler!$J$8&lt;AC15,"")</f>
        <v>4</v>
      </c>
      <c r="AE16" s="33"/>
      <c r="AF16" s="34" t="str">
        <f>IF(Controler!$J$8&gt;=1,"1"," ")</f>
        <v>1</v>
      </c>
      <c r="AG16" s="33"/>
      <c r="AH16" s="34" t="str">
        <f>IF(Controler!$J$8&gt;=2,"2"," ")</f>
        <v>2</v>
      </c>
      <c r="AI16" s="33"/>
      <c r="AJ16" s="34" t="str">
        <f>IF(Controler!$J$8&gt;=3,"3"," ")</f>
        <v>3</v>
      </c>
      <c r="AK16" s="33"/>
      <c r="AL16" s="34" t="str">
        <f>IF(Controler!$J$8&gt;=4,"4"," ")</f>
        <v>4</v>
      </c>
      <c r="AM16" s="33"/>
      <c r="AN16" s="34" t="str" cm="1">
        <f t="array" ref="AN16">_xlfn.IFS(Controler!$J$8&gt;7,"8",Controler!$J$8=7,"Sample",Controler!$J$8&lt;7,"")</f>
        <v>8</v>
      </c>
      <c r="AO16" s="33"/>
      <c r="AP16" s="34" t="str">
        <f>IF(Controler!$J$8&gt;=5,"5"," ")</f>
        <v>5</v>
      </c>
      <c r="AQ16" s="33"/>
      <c r="AR16" s="34" t="str">
        <f>IF(Controler!$J$8&gt;=6,"6"," ")</f>
        <v>6</v>
      </c>
      <c r="AS16" s="33"/>
      <c r="AT16" s="34" t="str">
        <f>IF(Controler!$J$8&gt;=7,"7"," ")</f>
        <v>7</v>
      </c>
      <c r="AU16" s="33"/>
      <c r="AV16" s="34" t="str">
        <f>IF(Controler!$J$8&gt;=7,"8"," ")</f>
        <v>8</v>
      </c>
      <c r="AW16" s="33"/>
      <c r="AX16" s="34" t="str" cm="1">
        <f t="array" ref="AX16">_xlfn.IFS(Controler!$J$8&gt;11,"12",Controler!$J$8=11,"Sample",Controler!$J$8&lt;11,"")</f>
        <v>12</v>
      </c>
      <c r="AY16" s="33"/>
      <c r="AZ16" s="34" t="str">
        <f>IF(Controler!$J$8&gt;=9,"9"," ")</f>
        <v>9</v>
      </c>
    </row>
    <row r="17" spans="2:52" ht="26" thickTop="1" thickBot="1" x14ac:dyDescent="0.4">
      <c r="B17" s="321" t="s">
        <v>59</v>
      </c>
      <c r="C17" s="189">
        <v>4</v>
      </c>
      <c r="D17" s="190"/>
      <c r="E17" s="122">
        <v>12</v>
      </c>
      <c r="F17" s="123"/>
      <c r="G17" s="122">
        <v>20</v>
      </c>
      <c r="H17" s="123"/>
      <c r="I17" s="126">
        <v>28</v>
      </c>
      <c r="J17" s="127"/>
      <c r="K17" s="126">
        <v>36</v>
      </c>
      <c r="L17" s="127"/>
      <c r="M17" s="36">
        <v>44</v>
      </c>
      <c r="N17" s="37"/>
      <c r="O17" s="40">
        <v>52</v>
      </c>
      <c r="P17" s="41"/>
      <c r="Q17" s="42">
        <v>60</v>
      </c>
      <c r="R17" s="43"/>
      <c r="S17" s="44">
        <v>68</v>
      </c>
      <c r="T17" s="45"/>
      <c r="U17" s="46">
        <v>76</v>
      </c>
      <c r="V17" s="47"/>
      <c r="W17" s="48">
        <v>84</v>
      </c>
      <c r="X17" s="49"/>
      <c r="Y17" s="50">
        <v>92</v>
      </c>
      <c r="Z17" s="100"/>
      <c r="AB17" s="321" t="s">
        <v>59</v>
      </c>
      <c r="AC17" s="31">
        <v>4</v>
      </c>
      <c r="AD17" s="32"/>
      <c r="AE17" s="31">
        <v>12</v>
      </c>
      <c r="AF17" s="32"/>
      <c r="AG17" s="31">
        <v>20</v>
      </c>
      <c r="AH17" s="32"/>
      <c r="AI17" s="31">
        <v>28</v>
      </c>
      <c r="AJ17" s="32"/>
      <c r="AK17" s="31">
        <v>36</v>
      </c>
      <c r="AL17" s="32"/>
      <c r="AM17" s="31">
        <v>44</v>
      </c>
      <c r="AN17" s="32"/>
      <c r="AO17" s="31">
        <v>52</v>
      </c>
      <c r="AP17" s="32"/>
      <c r="AQ17" s="31">
        <v>60</v>
      </c>
      <c r="AR17" s="32"/>
      <c r="AS17" s="31">
        <v>68</v>
      </c>
      <c r="AT17" s="32"/>
      <c r="AU17" s="31">
        <v>76</v>
      </c>
      <c r="AV17" s="32"/>
      <c r="AW17" s="31">
        <v>84</v>
      </c>
      <c r="AX17" s="32"/>
      <c r="AY17" s="31">
        <v>92</v>
      </c>
      <c r="AZ17" s="32"/>
    </row>
    <row r="18" spans="2:52" ht="25.5" thickBot="1" x14ac:dyDescent="0.4">
      <c r="B18" s="321"/>
      <c r="C18" s="191"/>
      <c r="D18" s="192" t="str">
        <f>IF(Controler!$J$8&gt;=4,"P4"," ")</f>
        <v>P4</v>
      </c>
      <c r="E18" s="124"/>
      <c r="F18" s="125" t="str">
        <f>IF(Controler!$J$8&gt;=12,"P12"," ")</f>
        <v>P12</v>
      </c>
      <c r="G18" s="124"/>
      <c r="H18" s="125"/>
      <c r="I18" s="128"/>
      <c r="J18" s="129"/>
      <c r="K18" s="128"/>
      <c r="L18" s="129"/>
      <c r="M18" s="38"/>
      <c r="N18" s="39"/>
      <c r="O18" s="52"/>
      <c r="P18" s="53" t="s">
        <v>57</v>
      </c>
      <c r="Q18" s="54"/>
      <c r="R18" s="55" t="s">
        <v>58</v>
      </c>
      <c r="S18" s="56"/>
      <c r="T18" s="57" t="s">
        <v>59</v>
      </c>
      <c r="U18" s="58"/>
      <c r="V18" s="59" t="s">
        <v>60</v>
      </c>
      <c r="W18" s="60"/>
      <c r="X18" s="61" t="s">
        <v>61</v>
      </c>
      <c r="Y18" s="62"/>
      <c r="Z18" s="101" t="s">
        <v>62</v>
      </c>
      <c r="AB18" s="321"/>
      <c r="AC18" s="33"/>
      <c r="AD18" s="34" t="str">
        <f>IF(Controler!$J$8&gt;=10,"10"," ")</f>
        <v>10</v>
      </c>
      <c r="AE18" s="33"/>
      <c r="AF18" s="34" t="str">
        <f>IF(Controler!$J$8&gt;=11,"11"," ")</f>
        <v>11</v>
      </c>
      <c r="AG18" s="33"/>
      <c r="AH18" s="34" t="str">
        <f>IF(Controler!$J$8&gt;=12,"12"," ")</f>
        <v>12</v>
      </c>
      <c r="AI18" s="33"/>
      <c r="AJ18" s="34" t="str" cm="1">
        <f t="array" ref="AJ18">_xlfn.IFS(Controler!$J$8&gt;12,"13",Controler!$J$8=12,"Sample",Controler!$J$8&lt;12,"")</f>
        <v>13</v>
      </c>
      <c r="AK18" s="33"/>
      <c r="AL18" s="34" t="str">
        <f>IF(Controler!$J$8&gt;=13,"13"," ")</f>
        <v>13</v>
      </c>
      <c r="AM18" s="33"/>
      <c r="AN18" s="34" t="str">
        <f>IF(Controler!$J$8&gt;=14,"14"," ")</f>
        <v xml:space="preserve"> </v>
      </c>
      <c r="AO18" s="33"/>
      <c r="AP18" s="34">
        <v>15</v>
      </c>
      <c r="AQ18" s="33"/>
      <c r="AR18" s="34" t="str">
        <f>IF(Controler!$J$8&gt;=16,"16"," ")</f>
        <v xml:space="preserve"> </v>
      </c>
      <c r="AS18" s="33"/>
      <c r="AT18" s="34" t="str" cm="1">
        <f t="array" ref="AT18">_xlfn.IFS(Controler!$J$8&gt;16,"17",Controler!$J$8=16,"Sample",Controler!$J$8&lt;16,"")</f>
        <v/>
      </c>
      <c r="AU18" s="33"/>
      <c r="AV18" s="34" t="str">
        <f>IF(Controler!$J$8&gt;=17,"17"," ")</f>
        <v xml:space="preserve"> </v>
      </c>
      <c r="AW18" s="33"/>
      <c r="AX18" s="34" t="str">
        <f>IF(Controler!$J$8&gt;=18,"18"," ")</f>
        <v xml:space="preserve"> </v>
      </c>
      <c r="AY18" s="33"/>
      <c r="AZ18" s="34" t="str">
        <f>IF(Controler!$J$8&gt;=19,"19"," ")</f>
        <v xml:space="preserve"> </v>
      </c>
    </row>
    <row r="19" spans="2:52" ht="26" thickTop="1" thickBot="1" x14ac:dyDescent="0.4">
      <c r="B19" s="321" t="s">
        <v>67</v>
      </c>
      <c r="C19" s="193">
        <v>5</v>
      </c>
      <c r="D19" s="194"/>
      <c r="E19" s="122">
        <v>13</v>
      </c>
      <c r="F19" s="123"/>
      <c r="G19" s="122">
        <v>21</v>
      </c>
      <c r="H19" s="123"/>
      <c r="I19" s="126">
        <v>29</v>
      </c>
      <c r="J19" s="127"/>
      <c r="K19" s="126">
        <v>37</v>
      </c>
      <c r="L19" s="127"/>
      <c r="M19" s="36">
        <v>45</v>
      </c>
      <c r="N19" s="37"/>
      <c r="O19" s="40">
        <v>53</v>
      </c>
      <c r="P19" s="41"/>
      <c r="Q19" s="64">
        <v>61</v>
      </c>
      <c r="R19" s="65"/>
      <c r="S19" s="44">
        <v>69</v>
      </c>
      <c r="T19" s="45"/>
      <c r="U19" s="46">
        <v>77</v>
      </c>
      <c r="V19" s="47"/>
      <c r="W19" s="48">
        <v>85</v>
      </c>
      <c r="X19" s="49"/>
      <c r="Y19" s="50">
        <v>93</v>
      </c>
      <c r="Z19" s="100"/>
      <c r="AB19" s="321" t="s">
        <v>67</v>
      </c>
      <c r="AC19" s="31">
        <v>5</v>
      </c>
      <c r="AD19" s="32"/>
      <c r="AE19" s="31">
        <v>13</v>
      </c>
      <c r="AF19" s="32"/>
      <c r="AG19" s="31">
        <v>21</v>
      </c>
      <c r="AH19" s="32"/>
      <c r="AI19" s="31">
        <v>29</v>
      </c>
      <c r="AJ19" s="32"/>
      <c r="AK19" s="31">
        <v>37</v>
      </c>
      <c r="AL19" s="32"/>
      <c r="AM19" s="31">
        <v>45</v>
      </c>
      <c r="AN19" s="32"/>
      <c r="AO19" s="31">
        <v>53</v>
      </c>
      <c r="AP19" s="32"/>
      <c r="AQ19" s="31">
        <v>61</v>
      </c>
      <c r="AR19" s="32"/>
      <c r="AS19" s="31">
        <v>69</v>
      </c>
      <c r="AT19" s="32"/>
      <c r="AU19" s="31">
        <v>77</v>
      </c>
      <c r="AV19" s="32"/>
      <c r="AW19" s="31">
        <v>85</v>
      </c>
      <c r="AX19" s="32"/>
      <c r="AY19" s="31">
        <v>93</v>
      </c>
      <c r="AZ19" s="32"/>
    </row>
    <row r="20" spans="2:52" ht="25.5" thickBot="1" x14ac:dyDescent="0.4">
      <c r="B20" s="321"/>
      <c r="C20" s="195"/>
      <c r="D20" s="196" t="str">
        <f>IF(Controler!$J$8&gt;=5,"P5"," ")</f>
        <v>P5</v>
      </c>
      <c r="E20" s="124"/>
      <c r="F20" s="125" t="str">
        <f>IF(Controler!$J$8&gt;=13,"P13"," ")</f>
        <v>P13</v>
      </c>
      <c r="G20" s="124"/>
      <c r="H20" s="125"/>
      <c r="I20" s="128"/>
      <c r="J20" s="129"/>
      <c r="K20" s="128"/>
      <c r="L20" s="129"/>
      <c r="M20" s="38"/>
      <c r="N20" s="39"/>
      <c r="O20" s="52"/>
      <c r="P20" s="53" t="s">
        <v>57</v>
      </c>
      <c r="Q20" s="66"/>
      <c r="R20" s="67" t="s">
        <v>63</v>
      </c>
      <c r="S20" s="56"/>
      <c r="T20" s="57" t="s">
        <v>59</v>
      </c>
      <c r="U20" s="58"/>
      <c r="V20" s="59" t="s">
        <v>60</v>
      </c>
      <c r="W20" s="60"/>
      <c r="X20" s="61" t="s">
        <v>61</v>
      </c>
      <c r="Y20" s="62"/>
      <c r="Z20" s="101" t="s">
        <v>62</v>
      </c>
      <c r="AB20" s="321"/>
      <c r="AC20" s="33"/>
      <c r="AD20" s="34" t="str">
        <f>IF(Controler!$J$8&gt;=10,"10"," ")</f>
        <v>10</v>
      </c>
      <c r="AE20" s="33"/>
      <c r="AF20" s="34" t="str">
        <f>IF(Controler!$J$8&gt;=11,"11"," ")</f>
        <v>11</v>
      </c>
      <c r="AG20" s="33"/>
      <c r="AH20" s="34" t="str">
        <f>IF(Controler!$J$8&gt;=12,"12"," ")</f>
        <v>12</v>
      </c>
      <c r="AI20" s="33"/>
      <c r="AJ20" s="34" t="str" cm="1">
        <f t="array" ref="AJ20">_xlfn.IFS(Controler!$J$8&gt;13,"14",Controler!$J$8=13,"Sample",Controler!$J$8&lt;13,"")</f>
        <v>Sample</v>
      </c>
      <c r="AK20" s="33"/>
      <c r="AL20" s="34" t="str">
        <f>IF(Controler!$J$8&gt;=13,"13"," ")</f>
        <v>13</v>
      </c>
      <c r="AM20" s="33"/>
      <c r="AN20" s="34" t="str">
        <f>IF(Controler!$J$8&gt;=14,"14"," ")</f>
        <v xml:space="preserve"> </v>
      </c>
      <c r="AO20" s="33"/>
      <c r="AP20" s="34">
        <v>15</v>
      </c>
      <c r="AQ20" s="33"/>
      <c r="AR20" s="34" t="str">
        <f>IF(Controler!$J$8&gt;=16,"16"," ")</f>
        <v xml:space="preserve"> </v>
      </c>
      <c r="AS20" s="33"/>
      <c r="AT20" s="34" t="str" cm="1">
        <f t="array" ref="AT20">_xlfn.IFS(Controler!$J$8&gt;17,"18",Controler!$J$8=17,"Sample",Controler!$J$8&lt;17,"")</f>
        <v/>
      </c>
      <c r="AU20" s="33"/>
      <c r="AV20" s="34" t="str">
        <f>IF(Controler!$J$8&gt;=17,"17"," ")</f>
        <v xml:space="preserve"> </v>
      </c>
      <c r="AW20" s="33"/>
      <c r="AX20" s="34" t="str">
        <f>IF(Controler!$J$8&gt;=18,"18"," ")</f>
        <v xml:space="preserve"> </v>
      </c>
      <c r="AY20" s="33"/>
      <c r="AZ20" s="34" t="str">
        <f>IF(Controler!$J$8&gt;=19,"19"," ")</f>
        <v xml:space="preserve"> </v>
      </c>
    </row>
    <row r="21" spans="2:52" ht="26" thickTop="1" thickBot="1" x14ac:dyDescent="0.4">
      <c r="B21" s="321" t="s">
        <v>64</v>
      </c>
      <c r="C21" s="197">
        <v>6</v>
      </c>
      <c r="D21" s="198"/>
      <c r="E21" s="122">
        <v>14</v>
      </c>
      <c r="F21" s="123"/>
      <c r="G21" s="122">
        <v>22</v>
      </c>
      <c r="H21" s="123"/>
      <c r="I21" s="126">
        <v>30</v>
      </c>
      <c r="J21" s="127"/>
      <c r="K21" s="126">
        <v>38</v>
      </c>
      <c r="L21" s="127"/>
      <c r="M21" s="36">
        <v>46</v>
      </c>
      <c r="N21" s="37"/>
      <c r="O21" s="40">
        <v>54</v>
      </c>
      <c r="P21" s="41"/>
      <c r="Q21" s="68">
        <v>62</v>
      </c>
      <c r="R21" s="69"/>
      <c r="S21" s="44">
        <v>70</v>
      </c>
      <c r="T21" s="45"/>
      <c r="U21" s="46">
        <v>78</v>
      </c>
      <c r="V21" s="47"/>
      <c r="W21" s="48">
        <v>86</v>
      </c>
      <c r="X21" s="49"/>
      <c r="Y21" s="50">
        <v>94</v>
      </c>
      <c r="Z21" s="100"/>
      <c r="AB21" s="321" t="s">
        <v>64</v>
      </c>
      <c r="AC21" s="31">
        <v>6</v>
      </c>
      <c r="AD21" s="32"/>
      <c r="AE21" s="31">
        <v>14</v>
      </c>
      <c r="AF21" s="32"/>
      <c r="AG21" s="31">
        <v>22</v>
      </c>
      <c r="AH21" s="32"/>
      <c r="AI21" s="31">
        <v>30</v>
      </c>
      <c r="AJ21" s="32"/>
      <c r="AK21" s="31">
        <v>38</v>
      </c>
      <c r="AL21" s="32"/>
      <c r="AM21" s="31">
        <v>46</v>
      </c>
      <c r="AN21" s="32"/>
      <c r="AO21" s="31">
        <v>54</v>
      </c>
      <c r="AP21" s="32"/>
      <c r="AQ21" s="31">
        <v>62</v>
      </c>
      <c r="AR21" s="32"/>
      <c r="AS21" s="31">
        <v>70</v>
      </c>
      <c r="AT21" s="32"/>
      <c r="AU21" s="31">
        <v>78</v>
      </c>
      <c r="AV21" s="32"/>
      <c r="AW21" s="31">
        <v>86</v>
      </c>
      <c r="AX21" s="32"/>
      <c r="AY21" s="31">
        <v>94</v>
      </c>
      <c r="AZ21" s="32"/>
    </row>
    <row r="22" spans="2:52" ht="25.5" thickBot="1" x14ac:dyDescent="0.4">
      <c r="B22" s="321"/>
      <c r="C22" s="199"/>
      <c r="D22" s="200" t="str">
        <f>IF(Controler!$J$8&gt;=6,"P6"," ")</f>
        <v>P6</v>
      </c>
      <c r="E22" s="124"/>
      <c r="F22" s="125" t="str">
        <f>IF(Controler!$J$8&gt;=14,"P14"," ")</f>
        <v xml:space="preserve"> </v>
      </c>
      <c r="G22" s="124"/>
      <c r="H22" s="125"/>
      <c r="I22" s="128"/>
      <c r="J22" s="129"/>
      <c r="K22" s="128"/>
      <c r="L22" s="130"/>
      <c r="M22" s="38"/>
      <c r="N22" s="39"/>
      <c r="O22" s="52"/>
      <c r="P22" s="53" t="s">
        <v>57</v>
      </c>
      <c r="Q22" s="70"/>
      <c r="R22" s="71" t="s">
        <v>64</v>
      </c>
      <c r="S22" s="56"/>
      <c r="T22" s="57" t="s">
        <v>59</v>
      </c>
      <c r="U22" s="58"/>
      <c r="V22" s="59" t="s">
        <v>60</v>
      </c>
      <c r="W22" s="60"/>
      <c r="X22" s="61" t="s">
        <v>61</v>
      </c>
      <c r="Y22" s="62"/>
      <c r="Z22" s="101" t="s">
        <v>62</v>
      </c>
      <c r="AB22" s="321"/>
      <c r="AC22" s="33"/>
      <c r="AD22" s="34" t="str">
        <f>IF(Controler!$J$8&gt;=10,"10"," ")</f>
        <v>10</v>
      </c>
      <c r="AE22" s="33"/>
      <c r="AF22" s="34" t="str">
        <f>IF(Controler!$J$8&gt;=11,"11"," ")</f>
        <v>11</v>
      </c>
      <c r="AG22" s="33"/>
      <c r="AH22" s="34" t="str">
        <f>IF(Controler!$J$8&gt;=12,"12"," ")</f>
        <v>12</v>
      </c>
      <c r="AI22" s="33"/>
      <c r="AJ22" s="34" t="str" cm="1">
        <f t="array" ref="AJ22">_xlfn.IFS(Controler!$J$8&gt;14,"15",Controler!$J$8=14,"Sample",Controler!$J$8&lt;14,"")</f>
        <v/>
      </c>
      <c r="AK22" s="33"/>
      <c r="AL22" s="34" t="str">
        <f>IF(Controler!$J$8&gt;=13,"13"," ")</f>
        <v>13</v>
      </c>
      <c r="AM22" s="33"/>
      <c r="AN22" s="34" t="str">
        <f>IF(Controler!$J$8&gt;=14,"14"," ")</f>
        <v xml:space="preserve"> </v>
      </c>
      <c r="AO22" s="33"/>
      <c r="AP22" s="34">
        <v>15</v>
      </c>
      <c r="AQ22" s="33"/>
      <c r="AR22" s="34" t="str">
        <f>IF(Controler!$J$8&gt;=16,"16"," ")</f>
        <v xml:space="preserve"> </v>
      </c>
      <c r="AS22" s="33"/>
      <c r="AT22" s="34" t="str" cm="1">
        <f t="array" ref="AT22">_xlfn.IFS(Controler!$J$8&gt;18,"19",Controler!$J$8=18,"Sample",Controler!$J$8&lt;18,"")</f>
        <v/>
      </c>
      <c r="AU22" s="33"/>
      <c r="AV22" s="34" t="str">
        <f>IF(Controler!$J$8&gt;=17,"17"," ")</f>
        <v xml:space="preserve"> </v>
      </c>
      <c r="AW22" s="33"/>
      <c r="AX22" s="34" t="str">
        <f>IF(Controler!$J$8&gt;=18,"18"," ")</f>
        <v xml:space="preserve"> </v>
      </c>
      <c r="AY22" s="33"/>
      <c r="AZ22" s="34" t="str">
        <f>IF(Controler!$J$8&gt;=19,"19"," ")</f>
        <v xml:space="preserve"> </v>
      </c>
    </row>
    <row r="23" spans="2:52" ht="26" thickTop="1" thickBot="1" x14ac:dyDescent="0.4">
      <c r="B23" s="321" t="s">
        <v>68</v>
      </c>
      <c r="C23" s="201">
        <v>7</v>
      </c>
      <c r="D23" s="202"/>
      <c r="E23" s="122">
        <v>15</v>
      </c>
      <c r="F23" s="123"/>
      <c r="G23" s="162">
        <v>23</v>
      </c>
      <c r="H23" s="163"/>
      <c r="I23" s="126">
        <v>31</v>
      </c>
      <c r="J23" s="127"/>
      <c r="K23" s="126">
        <v>39</v>
      </c>
      <c r="L23" s="127"/>
      <c r="M23" s="36">
        <v>47</v>
      </c>
      <c r="N23" s="37"/>
      <c r="O23" s="40">
        <v>55</v>
      </c>
      <c r="P23" s="41"/>
      <c r="Q23" s="72">
        <v>63</v>
      </c>
      <c r="R23" s="73"/>
      <c r="S23" s="44">
        <v>71</v>
      </c>
      <c r="T23" s="45"/>
      <c r="U23" s="46">
        <v>79</v>
      </c>
      <c r="V23" s="47"/>
      <c r="W23" s="48">
        <v>87</v>
      </c>
      <c r="X23" s="49"/>
      <c r="Y23" s="50">
        <v>95</v>
      </c>
      <c r="Z23" s="100"/>
      <c r="AB23" s="321" t="s">
        <v>68</v>
      </c>
      <c r="AC23" s="31">
        <v>7</v>
      </c>
      <c r="AD23" s="32"/>
      <c r="AE23" s="31">
        <v>15</v>
      </c>
      <c r="AF23" s="32"/>
      <c r="AG23" s="31">
        <v>23</v>
      </c>
      <c r="AH23" s="32"/>
      <c r="AI23" s="31">
        <v>31</v>
      </c>
      <c r="AJ23" s="32"/>
      <c r="AK23" s="31">
        <v>39</v>
      </c>
      <c r="AL23" s="32"/>
      <c r="AM23" s="31">
        <v>47</v>
      </c>
      <c r="AN23" s="32"/>
      <c r="AO23" s="31">
        <v>55</v>
      </c>
      <c r="AP23" s="32"/>
      <c r="AQ23" s="31">
        <v>63</v>
      </c>
      <c r="AR23" s="32"/>
      <c r="AS23" s="31">
        <v>71</v>
      </c>
      <c r="AT23" s="32"/>
      <c r="AU23" s="31">
        <v>79</v>
      </c>
      <c r="AV23" s="32"/>
      <c r="AW23" s="31">
        <v>87</v>
      </c>
      <c r="AX23" s="32"/>
      <c r="AY23" s="31">
        <v>95</v>
      </c>
      <c r="AZ23" s="32"/>
    </row>
    <row r="24" spans="2:52" ht="25.5" thickBot="1" x14ac:dyDescent="0.4">
      <c r="B24" s="333"/>
      <c r="C24" s="203"/>
      <c r="D24" s="204" t="str">
        <f>IF(Controler!$J$8&gt;=7,"P7"," ")</f>
        <v>P7</v>
      </c>
      <c r="E24" s="124"/>
      <c r="F24" s="125" t="str">
        <f>IF(Controler!$J$8&gt;=15,"P15"," ")</f>
        <v xml:space="preserve"> </v>
      </c>
      <c r="G24" s="156" t="s">
        <v>96</v>
      </c>
      <c r="H24" s="145" t="s">
        <v>80</v>
      </c>
      <c r="I24" s="131"/>
      <c r="J24" s="132"/>
      <c r="K24" s="131"/>
      <c r="L24" s="133"/>
      <c r="M24" s="102"/>
      <c r="N24" s="103"/>
      <c r="O24" s="104"/>
      <c r="P24" s="105" t="s">
        <v>57</v>
      </c>
      <c r="Q24" s="106"/>
      <c r="R24" s="107" t="s">
        <v>65</v>
      </c>
      <c r="S24" s="108"/>
      <c r="T24" s="109" t="s">
        <v>59</v>
      </c>
      <c r="U24" s="110"/>
      <c r="V24" s="111" t="s">
        <v>60</v>
      </c>
      <c r="W24" s="112"/>
      <c r="X24" s="113" t="s">
        <v>61</v>
      </c>
      <c r="Y24" s="114"/>
      <c r="Z24" s="115" t="s">
        <v>62</v>
      </c>
      <c r="AB24" s="333"/>
      <c r="AC24" s="33"/>
      <c r="AD24" s="34" t="str">
        <f>IF(Controler!$J$8&gt;=10,"10"," ")</f>
        <v>10</v>
      </c>
      <c r="AE24" s="33"/>
      <c r="AF24" s="34" t="str">
        <f>IF(Controler!$J$8&gt;=11,"11"," ")</f>
        <v>11</v>
      </c>
      <c r="AG24" s="33"/>
      <c r="AH24" s="34" t="str">
        <f>IF(Controler!$J$8&gt;=12,"12"," ")</f>
        <v>12</v>
      </c>
      <c r="AI24" s="33"/>
      <c r="AJ24" s="34" t="str" cm="1">
        <f t="array" ref="AJ24">_xlfn.IFS(Controler!$J$8&gt;15,"16",Controler!$J$8=15,"Sample",Controler!$J$8&lt;15,"")</f>
        <v/>
      </c>
      <c r="AK24" s="33"/>
      <c r="AL24" s="34" t="str">
        <f>IF(Controler!$J$8&gt;=13,"13"," ")</f>
        <v>13</v>
      </c>
      <c r="AM24" s="33"/>
      <c r="AN24" s="34" t="str">
        <f>IF(Controler!$J$8&gt;=14,"14"," ")</f>
        <v xml:space="preserve"> </v>
      </c>
      <c r="AO24" s="33"/>
      <c r="AP24" s="34">
        <v>15</v>
      </c>
      <c r="AQ24" s="33"/>
      <c r="AR24" s="34" t="str">
        <f>IF(Controler!$J$8&gt;=16,"16"," ")</f>
        <v xml:space="preserve"> </v>
      </c>
      <c r="AS24" s="33"/>
      <c r="AT24" s="244" t="str" cm="1">
        <f t="array" ref="AT24">_xlfn.IFS(Controler!$J$8&gt;19,"20",Controler!$J$8=19,"Sample",Controler!$J$8&lt;19,"")</f>
        <v/>
      </c>
      <c r="AU24" s="33"/>
      <c r="AV24" s="34" t="str">
        <f>IF(Controler!$J$8&gt;=17,"17"," ")</f>
        <v xml:space="preserve"> </v>
      </c>
      <c r="AW24" s="33"/>
      <c r="AX24" s="34" t="str">
        <f>IF(Controler!$J$8&gt;=18,"18"," ")</f>
        <v xml:space="preserve"> </v>
      </c>
      <c r="AY24" s="33"/>
      <c r="AZ24" s="34" t="str">
        <f>IF(Controler!$J$8&gt;=19,"19"," ")</f>
        <v xml:space="preserve"> </v>
      </c>
    </row>
    <row r="25" spans="2:52" ht="16" thickTop="1" x14ac:dyDescent="0.45">
      <c r="B25" s="30"/>
      <c r="C25" s="30"/>
      <c r="D25" s="30"/>
      <c r="E25" s="3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</row>
    <row r="26" spans="2:52" ht="16" thickBot="1" x14ac:dyDescent="0.5"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</row>
    <row r="27" spans="2:52" ht="15" thickTop="1" x14ac:dyDescent="0.35">
      <c r="B27" s="299" t="s">
        <v>4</v>
      </c>
      <c r="C27" s="300"/>
      <c r="D27" s="300"/>
      <c r="E27" s="300"/>
      <c r="F27" s="300"/>
      <c r="G27" s="300"/>
      <c r="H27" s="300"/>
      <c r="I27" s="300"/>
      <c r="J27" s="300"/>
      <c r="K27" s="300"/>
      <c r="L27" s="300"/>
      <c r="M27" s="300"/>
      <c r="N27" s="300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1"/>
      <c r="AB27" s="299" t="s">
        <v>74</v>
      </c>
      <c r="AC27" s="300"/>
      <c r="AD27" s="300"/>
      <c r="AE27" s="300"/>
      <c r="AF27" s="300"/>
      <c r="AG27" s="300"/>
      <c r="AH27" s="300"/>
      <c r="AI27" s="300"/>
      <c r="AJ27" s="300"/>
      <c r="AK27" s="300"/>
      <c r="AL27" s="300"/>
      <c r="AM27" s="300"/>
      <c r="AN27" s="300"/>
      <c r="AO27" s="300"/>
      <c r="AP27" s="300"/>
      <c r="AQ27" s="300"/>
      <c r="AR27" s="300"/>
      <c r="AS27" s="300"/>
      <c r="AT27" s="300"/>
      <c r="AU27" s="300"/>
      <c r="AV27" s="300"/>
      <c r="AW27" s="300"/>
      <c r="AX27" s="300"/>
      <c r="AY27" s="300"/>
      <c r="AZ27" s="301"/>
    </row>
    <row r="28" spans="2:52" x14ac:dyDescent="0.35">
      <c r="B28" s="302"/>
      <c r="C28" s="303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  <c r="W28" s="303"/>
      <c r="X28" s="303"/>
      <c r="Y28" s="303"/>
      <c r="Z28" s="304"/>
      <c r="AB28" s="302"/>
      <c r="AC28" s="303"/>
      <c r="AD28" s="303"/>
      <c r="AE28" s="303"/>
      <c r="AF28" s="303"/>
      <c r="AG28" s="303"/>
      <c r="AH28" s="303"/>
      <c r="AI28" s="303"/>
      <c r="AJ28" s="303"/>
      <c r="AK28" s="303"/>
      <c r="AL28" s="303"/>
      <c r="AM28" s="303"/>
      <c r="AN28" s="303"/>
      <c r="AO28" s="303"/>
      <c r="AP28" s="303"/>
      <c r="AQ28" s="303"/>
      <c r="AR28" s="303"/>
      <c r="AS28" s="303"/>
      <c r="AT28" s="303"/>
      <c r="AU28" s="303"/>
      <c r="AV28" s="303"/>
      <c r="AW28" s="303"/>
      <c r="AX28" s="303"/>
      <c r="AY28" s="303"/>
      <c r="AZ28" s="304"/>
    </row>
    <row r="29" spans="2:52" ht="25.5" thickBot="1" x14ac:dyDescent="0.5">
      <c r="B29" s="116"/>
      <c r="C29" s="311">
        <v>1</v>
      </c>
      <c r="D29" s="311"/>
      <c r="E29" s="311">
        <v>2</v>
      </c>
      <c r="F29" s="311"/>
      <c r="G29" s="311">
        <v>3</v>
      </c>
      <c r="H29" s="311"/>
      <c r="I29" s="311">
        <v>4</v>
      </c>
      <c r="J29" s="311"/>
      <c r="K29" s="311">
        <v>5</v>
      </c>
      <c r="L29" s="311"/>
      <c r="M29" s="311">
        <v>6</v>
      </c>
      <c r="N29" s="311"/>
      <c r="O29" s="311">
        <v>7</v>
      </c>
      <c r="P29" s="311"/>
      <c r="Q29" s="311">
        <v>8</v>
      </c>
      <c r="R29" s="311"/>
      <c r="S29" s="311">
        <v>9</v>
      </c>
      <c r="T29" s="311"/>
      <c r="U29" s="311">
        <v>10</v>
      </c>
      <c r="V29" s="311"/>
      <c r="W29" s="311">
        <v>11</v>
      </c>
      <c r="X29" s="311"/>
      <c r="Y29" s="311">
        <v>12</v>
      </c>
      <c r="Z29" s="332"/>
      <c r="AB29" s="116"/>
      <c r="AC29" s="311">
        <v>1</v>
      </c>
      <c r="AD29" s="311"/>
      <c r="AE29" s="311">
        <v>2</v>
      </c>
      <c r="AF29" s="311"/>
      <c r="AG29" s="311">
        <v>3</v>
      </c>
      <c r="AH29" s="311"/>
      <c r="AI29" s="311">
        <v>4</v>
      </c>
      <c r="AJ29" s="311"/>
      <c r="AK29" s="311">
        <v>5</v>
      </c>
      <c r="AL29" s="311"/>
      <c r="AM29" s="311">
        <v>6</v>
      </c>
      <c r="AN29" s="311"/>
      <c r="AO29" s="311">
        <v>7</v>
      </c>
      <c r="AP29" s="311"/>
      <c r="AQ29" s="311">
        <v>8</v>
      </c>
      <c r="AR29" s="311"/>
      <c r="AS29" s="311">
        <v>9</v>
      </c>
      <c r="AT29" s="311"/>
      <c r="AU29" s="311">
        <v>10</v>
      </c>
      <c r="AV29" s="311"/>
      <c r="AW29" s="311">
        <v>11</v>
      </c>
      <c r="AX29" s="311"/>
      <c r="AY29" s="311">
        <v>12</v>
      </c>
      <c r="AZ29" s="332"/>
    </row>
    <row r="30" spans="2:52" ht="26" thickTop="1" thickBot="1" x14ac:dyDescent="0.4">
      <c r="B30" s="321" t="s">
        <v>58</v>
      </c>
      <c r="C30" s="42">
        <v>0</v>
      </c>
      <c r="D30" s="43"/>
      <c r="E30" s="44">
        <v>8</v>
      </c>
      <c r="F30" s="45"/>
      <c r="G30" s="46">
        <v>16</v>
      </c>
      <c r="H30" s="47"/>
      <c r="I30" s="48">
        <v>24</v>
      </c>
      <c r="J30" s="49"/>
      <c r="K30" s="50">
        <v>32</v>
      </c>
      <c r="L30" s="51"/>
      <c r="M30" s="75">
        <v>40</v>
      </c>
      <c r="N30" s="76"/>
      <c r="O30" s="36">
        <v>48</v>
      </c>
      <c r="P30" s="37"/>
      <c r="Q30" s="40">
        <v>56</v>
      </c>
      <c r="R30" s="117"/>
      <c r="S30" s="40">
        <v>64</v>
      </c>
      <c r="T30" s="117"/>
      <c r="U30" s="40">
        <v>72</v>
      </c>
      <c r="V30" s="117"/>
      <c r="W30" s="40">
        <v>80</v>
      </c>
      <c r="X30" s="117"/>
      <c r="Y30" s="40">
        <v>88</v>
      </c>
      <c r="Z30" s="117"/>
      <c r="AB30" s="321" t="s">
        <v>58</v>
      </c>
      <c r="AC30" s="164">
        <v>0</v>
      </c>
      <c r="AD30" s="165"/>
      <c r="AE30" s="164">
        <v>8</v>
      </c>
      <c r="AF30" s="165"/>
      <c r="AG30" s="164">
        <v>16</v>
      </c>
      <c r="AH30" s="165"/>
      <c r="AI30" s="164">
        <v>24</v>
      </c>
      <c r="AJ30" s="165"/>
      <c r="AK30" s="134">
        <v>32</v>
      </c>
      <c r="AL30" s="135"/>
      <c r="AM30" s="134">
        <v>40</v>
      </c>
      <c r="AN30" s="135"/>
      <c r="AO30" s="134">
        <v>48</v>
      </c>
      <c r="AP30" s="135"/>
      <c r="AQ30" s="134">
        <v>56</v>
      </c>
      <c r="AR30" s="135"/>
      <c r="AS30" s="134">
        <v>64</v>
      </c>
      <c r="AT30" s="135"/>
      <c r="AU30" s="134">
        <v>72</v>
      </c>
      <c r="AV30" s="135"/>
      <c r="AW30" s="134">
        <v>80</v>
      </c>
      <c r="AX30" s="135"/>
      <c r="AY30" s="134">
        <v>88</v>
      </c>
      <c r="AZ30" s="135"/>
    </row>
    <row r="31" spans="2:52" ht="25.5" thickBot="1" x14ac:dyDescent="0.4">
      <c r="B31" s="321"/>
      <c r="C31" s="78">
        <f xml:space="preserve"> 0.025*(Controler!$J$8+References!C51)+0.1</f>
        <v>0.42500000000000004</v>
      </c>
      <c r="D31" s="55" t="s">
        <v>58</v>
      </c>
      <c r="E31" s="79">
        <f xml:space="preserve"> 0.025*(Controler!$J$8+References!C54)+0.1</f>
        <v>0.42500000000000004</v>
      </c>
      <c r="F31" s="57" t="s">
        <v>59</v>
      </c>
      <c r="G31" s="80">
        <f xml:space="preserve"> 0.05*(Controler!$J$8+References!C54)+0.15</f>
        <v>0.8</v>
      </c>
      <c r="H31" s="59" t="s">
        <v>60</v>
      </c>
      <c r="I31" s="81">
        <f xml:space="preserve"> 0.1*Controler!$J$8+0.2</f>
        <v>1.5</v>
      </c>
      <c r="J31" s="61" t="s">
        <v>61</v>
      </c>
      <c r="K31" s="82">
        <f xml:space="preserve"> 0.05*(Controler!$J$8+References!C54)+0.15</f>
        <v>0.8</v>
      </c>
      <c r="L31" s="63" t="s">
        <v>62</v>
      </c>
      <c r="M31" s="83"/>
      <c r="N31" s="84"/>
      <c r="O31" s="38"/>
      <c r="P31" s="39"/>
      <c r="Q31" s="85">
        <f xml:space="preserve"> 270/1000/4*Controler!$J$8+0.15</f>
        <v>1.0275000000000001</v>
      </c>
      <c r="R31" s="53" t="str">
        <f>References!$C$30</f>
        <v>W2</v>
      </c>
      <c r="S31" s="85">
        <f xml:space="preserve"> 270/1000/4*Controler!$J$8+0.15</f>
        <v>1.0275000000000001</v>
      </c>
      <c r="T31" s="53" t="str">
        <f>References!$C$30</f>
        <v>W2</v>
      </c>
      <c r="U31" s="85">
        <f xml:space="preserve"> 270/1000/4*Controler!$J$8+0.15</f>
        <v>1.0275000000000001</v>
      </c>
      <c r="V31" s="53" t="str">
        <f>References!$C$30</f>
        <v>W2</v>
      </c>
      <c r="W31" s="85">
        <f xml:space="preserve"> 270/1000/4*Controler!$J$8+0.15</f>
        <v>1.0275000000000001</v>
      </c>
      <c r="X31" s="53" t="str">
        <f>References!$C$30</f>
        <v>W2</v>
      </c>
      <c r="Y31" s="85" cm="1">
        <f t="array" ref="Y31" xml:space="preserve"> _xlfn.IFS(Controler!$J$8&lt;6,270/1000*Controler!$J$8+0.2,Controler!$J$8&lt;20,270/1000*5+0.2)</f>
        <v>1.55</v>
      </c>
      <c r="Z31" s="53" t="str">
        <f>References!$C$30</f>
        <v>W2</v>
      </c>
      <c r="AB31" s="321"/>
      <c r="AC31" s="166"/>
      <c r="AD31" s="167"/>
      <c r="AE31" s="166"/>
      <c r="AF31" s="167"/>
      <c r="AG31" s="166"/>
      <c r="AH31" s="167"/>
      <c r="AI31" s="166"/>
      <c r="AJ31" s="167"/>
      <c r="AK31" s="136"/>
      <c r="AL31" s="137"/>
      <c r="AM31" s="136"/>
      <c r="AN31" s="137"/>
      <c r="AO31" s="136"/>
      <c r="AP31" s="137"/>
      <c r="AQ31" s="136"/>
      <c r="AR31" s="137"/>
      <c r="AS31" s="136"/>
      <c r="AT31" s="137"/>
      <c r="AU31" s="136"/>
      <c r="AV31" s="137"/>
      <c r="AW31" s="136"/>
      <c r="AX31" s="137"/>
      <c r="AY31" s="136"/>
      <c r="AZ31" s="137"/>
    </row>
    <row r="32" spans="2:52" ht="26" thickTop="1" thickBot="1" x14ac:dyDescent="0.4">
      <c r="B32" s="321" t="s">
        <v>66</v>
      </c>
      <c r="C32" s="64">
        <v>1</v>
      </c>
      <c r="D32" s="65"/>
      <c r="E32" s="44">
        <v>9</v>
      </c>
      <c r="F32" s="45"/>
      <c r="G32" s="46">
        <v>17</v>
      </c>
      <c r="H32" s="47"/>
      <c r="I32" s="48">
        <v>25</v>
      </c>
      <c r="J32" s="49"/>
      <c r="K32" s="50">
        <v>33</v>
      </c>
      <c r="L32" s="51"/>
      <c r="M32" s="75">
        <v>41</v>
      </c>
      <c r="N32" s="76"/>
      <c r="O32" s="36">
        <v>49</v>
      </c>
      <c r="P32" s="37"/>
      <c r="Q32" s="40">
        <v>57</v>
      </c>
      <c r="R32" s="77"/>
      <c r="S32" s="40">
        <v>65</v>
      </c>
      <c r="T32" s="77"/>
      <c r="U32" s="40">
        <v>73</v>
      </c>
      <c r="V32" s="77"/>
      <c r="W32" s="40">
        <v>81</v>
      </c>
      <c r="X32" s="77"/>
      <c r="Y32" s="40">
        <v>89</v>
      </c>
      <c r="Z32" s="77"/>
      <c r="AB32" s="321" t="s">
        <v>66</v>
      </c>
      <c r="AC32" s="164">
        <v>1</v>
      </c>
      <c r="AD32" s="165"/>
      <c r="AE32" s="164">
        <v>9</v>
      </c>
      <c r="AF32" s="165"/>
      <c r="AG32" s="164">
        <v>17</v>
      </c>
      <c r="AH32" s="165"/>
      <c r="AI32" s="164">
        <v>25</v>
      </c>
      <c r="AJ32" s="165"/>
      <c r="AK32" s="134">
        <v>33</v>
      </c>
      <c r="AL32" s="135"/>
      <c r="AM32" s="134">
        <v>41</v>
      </c>
      <c r="AN32" s="135"/>
      <c r="AO32" s="134">
        <v>49</v>
      </c>
      <c r="AP32" s="135"/>
      <c r="AQ32" s="134">
        <v>57</v>
      </c>
      <c r="AR32" s="135"/>
      <c r="AS32" s="134">
        <v>65</v>
      </c>
      <c r="AT32" s="135"/>
      <c r="AU32" s="134">
        <v>73</v>
      </c>
      <c r="AV32" s="135"/>
      <c r="AW32" s="134">
        <v>81</v>
      </c>
      <c r="AX32" s="135"/>
      <c r="AY32" s="134">
        <v>89</v>
      </c>
      <c r="AZ32" s="135"/>
    </row>
    <row r="33" spans="2:52" ht="25.5" thickBot="1" x14ac:dyDescent="0.4">
      <c r="B33" s="321"/>
      <c r="C33" s="86">
        <f xml:space="preserve"> 0.025*(Controler!$J$8+References!C52)+0.1</f>
        <v>0.42500000000000004</v>
      </c>
      <c r="D33" s="67" t="s">
        <v>63</v>
      </c>
      <c r="E33" s="79">
        <f xml:space="preserve"> 0.025*(Controler!$J$8)+0.1</f>
        <v>0.42500000000000004</v>
      </c>
      <c r="F33" s="57" t="s">
        <v>59</v>
      </c>
      <c r="G33" s="80">
        <f xml:space="preserve"> 0.05*(Controler!$J$8)+0.15</f>
        <v>0.8</v>
      </c>
      <c r="H33" s="59" t="s">
        <v>60</v>
      </c>
      <c r="I33" s="81">
        <f xml:space="preserve"> 0.1*Controler!$J$8+0.2</f>
        <v>1.5</v>
      </c>
      <c r="J33" s="61" t="s">
        <v>61</v>
      </c>
      <c r="K33" s="82">
        <f xml:space="preserve"> 0.05*Controler!$J$8+0.15</f>
        <v>0.8</v>
      </c>
      <c r="L33" s="63" t="s">
        <v>62</v>
      </c>
      <c r="M33" s="83"/>
      <c r="N33" s="84"/>
      <c r="O33" s="38"/>
      <c r="P33" s="39"/>
      <c r="Q33" s="85">
        <f xml:space="preserve"> 270/1000/4*Controler!$J$8+0.15</f>
        <v>1.0275000000000001</v>
      </c>
      <c r="R33" s="53" t="str">
        <f>References!$C$30</f>
        <v>W2</v>
      </c>
      <c r="S33" s="85">
        <f xml:space="preserve"> 270/1000/4*Controler!$J$8+0.15</f>
        <v>1.0275000000000001</v>
      </c>
      <c r="T33" s="53" t="str">
        <f>References!$C$30</f>
        <v>W2</v>
      </c>
      <c r="U33" s="85">
        <f xml:space="preserve"> 270/1000/4*Controler!$J$8+0.15</f>
        <v>1.0275000000000001</v>
      </c>
      <c r="V33" s="53" t="str">
        <f>References!$C$30</f>
        <v>W2</v>
      </c>
      <c r="W33" s="85">
        <f xml:space="preserve"> 270/1000/4*Controler!$J$8+0.15</f>
        <v>1.0275000000000001</v>
      </c>
      <c r="X33" s="53" t="str">
        <f>References!$C$30</f>
        <v>W2</v>
      </c>
      <c r="Y33" s="85" cm="1">
        <f t="array" ref="Y33" xml:space="preserve"> _xlfn.IFS(Controler!$J$8&lt;6,270/1000*Controler!$J$8+0.2,Controler!$J$8&lt;20,270/1000*5+0.2)</f>
        <v>1.55</v>
      </c>
      <c r="Z33" s="53" t="str">
        <f>References!$C$30</f>
        <v>W2</v>
      </c>
      <c r="AB33" s="321"/>
      <c r="AC33" s="166"/>
      <c r="AD33" s="167"/>
      <c r="AE33" s="166"/>
      <c r="AF33" s="167"/>
      <c r="AG33" s="166"/>
      <c r="AH33" s="167"/>
      <c r="AI33" s="166"/>
      <c r="AJ33" s="167"/>
      <c r="AK33" s="136"/>
      <c r="AL33" s="137"/>
      <c r="AM33" s="136"/>
      <c r="AN33" s="137"/>
      <c r="AO33" s="136"/>
      <c r="AP33" s="137"/>
      <c r="AQ33" s="136"/>
      <c r="AR33" s="137"/>
      <c r="AS33" s="136"/>
      <c r="AT33" s="137"/>
      <c r="AU33" s="136"/>
      <c r="AV33" s="137"/>
      <c r="AW33" s="136"/>
      <c r="AX33" s="137"/>
      <c r="AY33" s="136"/>
      <c r="AZ33" s="137"/>
    </row>
    <row r="34" spans="2:52" ht="26" thickTop="1" thickBot="1" x14ac:dyDescent="0.4">
      <c r="B34" s="321" t="s">
        <v>63</v>
      </c>
      <c r="C34" s="68">
        <v>2</v>
      </c>
      <c r="D34" s="69"/>
      <c r="E34" s="44">
        <v>10</v>
      </c>
      <c r="F34" s="45"/>
      <c r="G34" s="46">
        <v>18</v>
      </c>
      <c r="H34" s="47"/>
      <c r="I34" s="48">
        <v>26</v>
      </c>
      <c r="J34" s="49"/>
      <c r="K34" s="50">
        <v>34</v>
      </c>
      <c r="L34" s="51"/>
      <c r="M34" s="75">
        <v>42</v>
      </c>
      <c r="N34" s="76"/>
      <c r="O34" s="36">
        <v>50</v>
      </c>
      <c r="P34" s="37"/>
      <c r="Q34" s="40">
        <v>58</v>
      </c>
      <c r="R34" s="77"/>
      <c r="S34" s="40">
        <v>66</v>
      </c>
      <c r="T34" s="77"/>
      <c r="U34" s="40">
        <v>74</v>
      </c>
      <c r="V34" s="77"/>
      <c r="W34" s="40">
        <v>82</v>
      </c>
      <c r="X34" s="77"/>
      <c r="Y34" s="40">
        <v>90</v>
      </c>
      <c r="Z34" s="77"/>
      <c r="AB34" s="321" t="s">
        <v>63</v>
      </c>
      <c r="AC34" s="164">
        <v>2</v>
      </c>
      <c r="AD34" s="165"/>
      <c r="AE34" s="164">
        <v>10</v>
      </c>
      <c r="AF34" s="165"/>
      <c r="AG34" s="164">
        <v>18</v>
      </c>
      <c r="AH34" s="165"/>
      <c r="AI34" s="134">
        <v>26</v>
      </c>
      <c r="AJ34" s="135"/>
      <c r="AK34" s="134">
        <v>34</v>
      </c>
      <c r="AL34" s="135"/>
      <c r="AM34" s="134">
        <v>42</v>
      </c>
      <c r="AN34" s="135"/>
      <c r="AO34" s="134">
        <v>50</v>
      </c>
      <c r="AP34" s="135"/>
      <c r="AQ34" s="134">
        <v>58</v>
      </c>
      <c r="AR34" s="135"/>
      <c r="AS34" s="134">
        <v>66</v>
      </c>
      <c r="AT34" s="135"/>
      <c r="AU34" s="134">
        <v>74</v>
      </c>
      <c r="AV34" s="135"/>
      <c r="AW34" s="134">
        <v>82</v>
      </c>
      <c r="AX34" s="135"/>
      <c r="AY34" s="134">
        <v>90</v>
      </c>
      <c r="AZ34" s="135"/>
    </row>
    <row r="35" spans="2:52" ht="25.5" thickBot="1" x14ac:dyDescent="0.4">
      <c r="B35" s="321"/>
      <c r="C35" s="87">
        <f xml:space="preserve"> 0.025*(Controler!$J$8+References!C53)+0.1</f>
        <v>0.42500000000000004</v>
      </c>
      <c r="D35" s="71" t="s">
        <v>64</v>
      </c>
      <c r="E35" s="79">
        <f xml:space="preserve"> 0.025*(Controler!$J$8)+0.1</f>
        <v>0.42500000000000004</v>
      </c>
      <c r="F35" s="57" t="s">
        <v>59</v>
      </c>
      <c r="G35" s="80">
        <f xml:space="preserve"> 0.05*(Controler!$J$8)+0.15</f>
        <v>0.8</v>
      </c>
      <c r="H35" s="59" t="s">
        <v>60</v>
      </c>
      <c r="I35" s="81">
        <f xml:space="preserve"> 0.1*Controler!$J$8+0.2</f>
        <v>1.5</v>
      </c>
      <c r="J35" s="61" t="s">
        <v>61</v>
      </c>
      <c r="K35" s="82">
        <f xml:space="preserve"> 0.05*Controler!$J$8+0.15</f>
        <v>0.8</v>
      </c>
      <c r="L35" s="63" t="s">
        <v>62</v>
      </c>
      <c r="M35" s="83"/>
      <c r="N35" s="84"/>
      <c r="O35" s="38"/>
      <c r="P35" s="39"/>
      <c r="Q35" s="85">
        <f xml:space="preserve"> 270/1000/4*Controler!$J$8+0.15</f>
        <v>1.0275000000000001</v>
      </c>
      <c r="R35" s="53" t="str">
        <f>References!$C$30</f>
        <v>W2</v>
      </c>
      <c r="S35" s="85">
        <f xml:space="preserve"> 270/1000/4*Controler!$J$8+0.15</f>
        <v>1.0275000000000001</v>
      </c>
      <c r="T35" s="53" t="str">
        <f>References!$C$30</f>
        <v>W2</v>
      </c>
      <c r="U35" s="85">
        <f xml:space="preserve"> 270/1000/4*Controler!$J$8+0.15</f>
        <v>1.0275000000000001</v>
      </c>
      <c r="V35" s="53" t="str">
        <f>References!$C$30</f>
        <v>W2</v>
      </c>
      <c r="W35" s="85">
        <f xml:space="preserve"> 270/1000/4*Controler!$J$8+0.15</f>
        <v>1.0275000000000001</v>
      </c>
      <c r="X35" s="53" t="str">
        <f>References!$C$30</f>
        <v>W2</v>
      </c>
      <c r="Y35" s="85" cm="1">
        <f t="array" ref="Y35" xml:space="preserve"> _xlfn.IFS(Controler!$J$8&lt;6,0,Controler!$J$8&lt;12,270/1000*(Controler!$J$8-5)+0.2,Controler!$J$8&lt;20,270/1000*7+0.2)</f>
        <v>2.0900000000000003</v>
      </c>
      <c r="Z35" s="53" t="str">
        <f>References!$C$30</f>
        <v>W2</v>
      </c>
      <c r="AB35" s="321"/>
      <c r="AC35" s="166"/>
      <c r="AD35" s="167"/>
      <c r="AE35" s="166"/>
      <c r="AF35" s="167"/>
      <c r="AG35" s="166"/>
      <c r="AH35" s="167"/>
      <c r="AI35" s="136"/>
      <c r="AJ35" s="137"/>
      <c r="AK35" s="136"/>
      <c r="AL35" s="137"/>
      <c r="AM35" s="136"/>
      <c r="AN35" s="137"/>
      <c r="AO35" s="136"/>
      <c r="AP35" s="137"/>
      <c r="AQ35" s="136"/>
      <c r="AR35" s="137"/>
      <c r="AS35" s="136"/>
      <c r="AT35" s="137"/>
      <c r="AU35" s="136"/>
      <c r="AV35" s="137"/>
      <c r="AW35" s="136"/>
      <c r="AX35" s="137"/>
      <c r="AY35" s="136"/>
      <c r="AZ35" s="137"/>
    </row>
    <row r="36" spans="2:52" ht="26" thickTop="1" thickBot="1" x14ac:dyDescent="0.4">
      <c r="B36" s="321" t="s">
        <v>61</v>
      </c>
      <c r="C36" s="72">
        <v>3</v>
      </c>
      <c r="D36" s="73"/>
      <c r="E36" s="44">
        <v>11</v>
      </c>
      <c r="F36" s="45"/>
      <c r="G36" s="46">
        <v>19</v>
      </c>
      <c r="H36" s="47"/>
      <c r="I36" s="48">
        <v>27</v>
      </c>
      <c r="J36" s="49"/>
      <c r="K36" s="50">
        <v>35</v>
      </c>
      <c r="L36" s="51"/>
      <c r="M36" s="75">
        <v>43</v>
      </c>
      <c r="N36" s="76"/>
      <c r="O36" s="36">
        <v>51</v>
      </c>
      <c r="P36" s="37"/>
      <c r="Q36" s="40">
        <v>59</v>
      </c>
      <c r="R36" s="77"/>
      <c r="S36" s="40">
        <v>67</v>
      </c>
      <c r="T36" s="77"/>
      <c r="U36" s="40">
        <v>75</v>
      </c>
      <c r="V36" s="77"/>
      <c r="W36" s="40">
        <v>83</v>
      </c>
      <c r="X36" s="77"/>
      <c r="Y36" s="40">
        <v>91</v>
      </c>
      <c r="Z36" s="77"/>
      <c r="AB36" s="321" t="s">
        <v>61</v>
      </c>
      <c r="AC36" s="164">
        <v>3</v>
      </c>
      <c r="AD36" s="165"/>
      <c r="AE36" s="164">
        <v>11</v>
      </c>
      <c r="AF36" s="165"/>
      <c r="AG36" s="164">
        <v>19</v>
      </c>
      <c r="AH36" s="165"/>
      <c r="AI36" s="134">
        <v>27</v>
      </c>
      <c r="AJ36" s="135"/>
      <c r="AK36" s="134">
        <v>35</v>
      </c>
      <c r="AL36" s="135"/>
      <c r="AM36" s="134">
        <v>43</v>
      </c>
      <c r="AN36" s="135"/>
      <c r="AO36" s="134">
        <v>51</v>
      </c>
      <c r="AP36" s="135"/>
      <c r="AQ36" s="134">
        <v>59</v>
      </c>
      <c r="AR36" s="135"/>
      <c r="AS36" s="134">
        <v>67</v>
      </c>
      <c r="AT36" s="135"/>
      <c r="AU36" s="134">
        <v>75</v>
      </c>
      <c r="AV36" s="135"/>
      <c r="AW36" s="134">
        <v>83</v>
      </c>
      <c r="AX36" s="135"/>
      <c r="AY36" s="134">
        <v>91</v>
      </c>
      <c r="AZ36" s="135"/>
    </row>
    <row r="37" spans="2:52" ht="25.5" thickBot="1" x14ac:dyDescent="0.4">
      <c r="B37" s="321"/>
      <c r="C37" s="88">
        <f xml:space="preserve"> 0.025*(Controler!$J$8+References!C53)+0.1</f>
        <v>0.42500000000000004</v>
      </c>
      <c r="D37" s="74" t="s">
        <v>65</v>
      </c>
      <c r="E37" s="79">
        <f xml:space="preserve"> 0.025*(Controler!$J$8)+0.1</f>
        <v>0.42500000000000004</v>
      </c>
      <c r="F37" s="57" t="s">
        <v>59</v>
      </c>
      <c r="G37" s="80">
        <f xml:space="preserve"> 0.05*(Controler!$J$8)+0.15</f>
        <v>0.8</v>
      </c>
      <c r="H37" s="59" t="s">
        <v>60</v>
      </c>
      <c r="I37" s="81">
        <f xml:space="preserve"> 0.1*Controler!$J$8+0.2</f>
        <v>1.5</v>
      </c>
      <c r="J37" s="61" t="s">
        <v>61</v>
      </c>
      <c r="K37" s="82">
        <f xml:space="preserve"> 0.05*Controler!$J$8+0.15</f>
        <v>0.8</v>
      </c>
      <c r="L37" s="63" t="s">
        <v>62</v>
      </c>
      <c r="M37" s="83"/>
      <c r="N37" s="84"/>
      <c r="O37" s="38"/>
      <c r="P37" s="39"/>
      <c r="Q37" s="85">
        <f xml:space="preserve"> 270/1000/4*Controler!$J$8+0.15</f>
        <v>1.0275000000000001</v>
      </c>
      <c r="R37" s="53" t="str">
        <f>References!$C$30</f>
        <v>W2</v>
      </c>
      <c r="S37" s="85">
        <f xml:space="preserve"> 270/1000/4*Controler!$J$8+0.15</f>
        <v>1.0275000000000001</v>
      </c>
      <c r="T37" s="53" t="str">
        <f>References!$C$30</f>
        <v>W2</v>
      </c>
      <c r="U37" s="85">
        <f xml:space="preserve"> 270/1000/4*Controler!$J$8+0.15</f>
        <v>1.0275000000000001</v>
      </c>
      <c r="V37" s="53" t="str">
        <f>References!$C$30</f>
        <v>W2</v>
      </c>
      <c r="W37" s="85">
        <f xml:space="preserve"> 270/1000/4*Controler!$J$8+0.15</f>
        <v>1.0275000000000001</v>
      </c>
      <c r="X37" s="53" t="str">
        <f>References!$C$30</f>
        <v>W2</v>
      </c>
      <c r="Y37" s="85" cm="1">
        <f t="array" ref="Y37" xml:space="preserve"> _xlfn.IFS(Controler!$J$8&lt;6,0,Controler!$J$8&lt;12,270/1000*(Controler!$J$8-5)+0.2,Controler!$J$8&lt;20,270/1000*7+0.2)</f>
        <v>2.0900000000000003</v>
      </c>
      <c r="Z37" s="53" t="str">
        <f>References!$C$30</f>
        <v>W2</v>
      </c>
      <c r="AB37" s="321"/>
      <c r="AC37" s="166"/>
      <c r="AD37" s="167"/>
      <c r="AE37" s="166"/>
      <c r="AF37" s="167"/>
      <c r="AG37" s="166"/>
      <c r="AH37" s="167"/>
      <c r="AI37" s="136"/>
      <c r="AJ37" s="137"/>
      <c r="AK37" s="136"/>
      <c r="AL37" s="137"/>
      <c r="AM37" s="136"/>
      <c r="AN37" s="137"/>
      <c r="AO37" s="136"/>
      <c r="AP37" s="137"/>
      <c r="AQ37" s="136"/>
      <c r="AR37" s="137"/>
      <c r="AS37" s="136"/>
      <c r="AT37" s="137"/>
      <c r="AU37" s="136"/>
      <c r="AV37" s="137"/>
      <c r="AW37" s="136"/>
      <c r="AX37" s="137"/>
      <c r="AY37" s="136"/>
      <c r="AZ37" s="137"/>
    </row>
    <row r="38" spans="2:52" ht="26" thickTop="1" thickBot="1" x14ac:dyDescent="0.4">
      <c r="B38" s="321" t="s">
        <v>59</v>
      </c>
      <c r="C38" s="36">
        <v>4</v>
      </c>
      <c r="D38" s="37"/>
      <c r="E38" s="36">
        <v>12</v>
      </c>
      <c r="F38" s="37"/>
      <c r="G38" s="36">
        <v>20</v>
      </c>
      <c r="H38" s="37"/>
      <c r="I38" s="31">
        <v>28</v>
      </c>
      <c r="J38" s="32"/>
      <c r="K38" s="36">
        <v>36</v>
      </c>
      <c r="L38" s="37"/>
      <c r="M38" s="36">
        <v>44</v>
      </c>
      <c r="N38" s="37"/>
      <c r="O38" s="36">
        <v>52</v>
      </c>
      <c r="P38" s="37"/>
      <c r="Q38" s="36">
        <v>60</v>
      </c>
      <c r="R38" s="37"/>
      <c r="S38" s="75">
        <v>68</v>
      </c>
      <c r="T38" s="89"/>
      <c r="U38" s="75">
        <v>76</v>
      </c>
      <c r="V38" s="76"/>
      <c r="W38" s="75">
        <v>84</v>
      </c>
      <c r="X38" s="76"/>
      <c r="Y38" s="40">
        <v>92</v>
      </c>
      <c r="Z38" s="77"/>
      <c r="AB38" s="321" t="s">
        <v>59</v>
      </c>
      <c r="AC38" s="164">
        <v>4</v>
      </c>
      <c r="AD38" s="165"/>
      <c r="AE38" s="164">
        <v>12</v>
      </c>
      <c r="AF38" s="165"/>
      <c r="AG38" s="164">
        <v>20</v>
      </c>
      <c r="AH38" s="165"/>
      <c r="AI38" s="134">
        <v>28</v>
      </c>
      <c r="AJ38" s="135"/>
      <c r="AK38" s="134">
        <v>36</v>
      </c>
      <c r="AL38" s="135"/>
      <c r="AM38" s="134">
        <v>44</v>
      </c>
      <c r="AN38" s="135"/>
      <c r="AO38" s="134">
        <v>52</v>
      </c>
      <c r="AP38" s="135"/>
      <c r="AQ38" s="134">
        <v>60</v>
      </c>
      <c r="AR38" s="135"/>
      <c r="AS38" s="134">
        <v>68</v>
      </c>
      <c r="AT38" s="135"/>
      <c r="AU38" s="134">
        <v>76</v>
      </c>
      <c r="AV38" s="135"/>
      <c r="AW38" s="134">
        <v>84</v>
      </c>
      <c r="AX38" s="135"/>
      <c r="AY38" s="134">
        <v>92</v>
      </c>
      <c r="AZ38" s="135"/>
    </row>
    <row r="39" spans="2:52" ht="25.5" thickBot="1" x14ac:dyDescent="0.4">
      <c r="B39" s="321"/>
      <c r="C39" s="38"/>
      <c r="D39" s="39"/>
      <c r="E39" s="38"/>
      <c r="F39" s="39"/>
      <c r="G39" s="38"/>
      <c r="H39" s="39"/>
      <c r="I39" s="245" t="str" cm="1">
        <f t="array" ref="I39">_xlfn.IFS(References!C55&gt;0,0.1*References!C54+0.1,References!C55=0,"")</f>
        <v/>
      </c>
      <c r="J39" s="34" t="str" cm="1">
        <f t="array" ref="J39">_xlfn.IFS(References!C55&gt;0,"D",References!C55=0,"")</f>
        <v/>
      </c>
      <c r="K39" s="38"/>
      <c r="L39" s="39"/>
      <c r="M39" s="38"/>
      <c r="N39" s="39"/>
      <c r="O39" s="38"/>
      <c r="P39" s="39"/>
      <c r="Q39" s="38"/>
      <c r="R39" s="39"/>
      <c r="S39" s="83"/>
      <c r="T39" s="90"/>
      <c r="U39" s="83"/>
      <c r="V39" s="84"/>
      <c r="W39" s="83"/>
      <c r="X39" s="84"/>
      <c r="Y39" s="85" cm="1">
        <f t="array" ref="Y39" xml:space="preserve"> _xlfn.IFS(Controler!$J$8&lt;7,0,Controler!$J$8&lt;13,0,Controler!$J$8&lt;20,270/1000*(Controler!$J$8-6*2)+0.2)</f>
        <v>0.47000000000000003</v>
      </c>
      <c r="Z39" s="53" t="str">
        <f>References!$C$30</f>
        <v>W2</v>
      </c>
      <c r="AB39" s="321"/>
      <c r="AC39" s="166"/>
      <c r="AD39" s="168"/>
      <c r="AE39" s="166"/>
      <c r="AF39" s="167"/>
      <c r="AG39" s="166"/>
      <c r="AH39" s="167"/>
      <c r="AI39" s="136"/>
      <c r="AJ39" s="137"/>
      <c r="AK39" s="136"/>
      <c r="AL39" s="137"/>
      <c r="AM39" s="136"/>
      <c r="AN39" s="137"/>
      <c r="AO39" s="136"/>
      <c r="AP39" s="137"/>
      <c r="AQ39" s="136"/>
      <c r="AR39" s="137"/>
      <c r="AS39" s="136"/>
      <c r="AT39" s="137"/>
      <c r="AU39" s="136"/>
      <c r="AV39" s="137"/>
      <c r="AW39" s="136"/>
      <c r="AX39" s="137"/>
      <c r="AY39" s="136"/>
      <c r="AZ39" s="137"/>
    </row>
    <row r="40" spans="2:52" ht="26" thickTop="1" thickBot="1" x14ac:dyDescent="0.4">
      <c r="B40" s="321" t="s">
        <v>67</v>
      </c>
      <c r="C40" s="36">
        <v>5</v>
      </c>
      <c r="D40" s="37"/>
      <c r="E40" s="36">
        <v>13</v>
      </c>
      <c r="F40" s="37"/>
      <c r="G40" s="36">
        <v>21</v>
      </c>
      <c r="H40" s="37"/>
      <c r="I40" s="36">
        <v>29</v>
      </c>
      <c r="J40" s="37"/>
      <c r="K40" s="36">
        <v>37</v>
      </c>
      <c r="L40" s="37"/>
      <c r="M40" s="36">
        <v>45</v>
      </c>
      <c r="N40" s="37"/>
      <c r="O40" s="36">
        <v>53</v>
      </c>
      <c r="P40" s="37"/>
      <c r="Q40" s="36">
        <v>61</v>
      </c>
      <c r="R40" s="37"/>
      <c r="S40" s="75">
        <v>69</v>
      </c>
      <c r="T40" s="89"/>
      <c r="U40" s="75">
        <v>77</v>
      </c>
      <c r="V40" s="76"/>
      <c r="W40" s="75">
        <v>85</v>
      </c>
      <c r="X40" s="76"/>
      <c r="Y40" s="40">
        <v>93</v>
      </c>
      <c r="Z40" s="77"/>
      <c r="AB40" s="321" t="s">
        <v>67</v>
      </c>
      <c r="AC40" s="164">
        <v>5</v>
      </c>
      <c r="AD40" s="165"/>
      <c r="AE40" s="164">
        <v>13</v>
      </c>
      <c r="AF40" s="165"/>
      <c r="AG40" s="164">
        <v>21</v>
      </c>
      <c r="AH40" s="165"/>
      <c r="AI40" s="134">
        <v>29</v>
      </c>
      <c r="AJ40" s="135"/>
      <c r="AK40" s="134">
        <v>37</v>
      </c>
      <c r="AL40" s="135"/>
      <c r="AM40" s="134">
        <v>45</v>
      </c>
      <c r="AN40" s="135"/>
      <c r="AO40" s="134">
        <v>53</v>
      </c>
      <c r="AP40" s="135"/>
      <c r="AQ40" s="134">
        <v>61</v>
      </c>
      <c r="AR40" s="135"/>
      <c r="AS40" s="134">
        <v>69</v>
      </c>
      <c r="AT40" s="135"/>
      <c r="AU40" s="134">
        <v>77</v>
      </c>
      <c r="AV40" s="135"/>
      <c r="AW40" s="134">
        <v>85</v>
      </c>
      <c r="AX40" s="135"/>
      <c r="AY40" s="134">
        <v>93</v>
      </c>
      <c r="AZ40" s="135"/>
    </row>
    <row r="41" spans="2:52" ht="25.5" thickBot="1" x14ac:dyDescent="0.4">
      <c r="B41" s="321"/>
      <c r="C41" s="38"/>
      <c r="D41" s="39"/>
      <c r="E41" s="38"/>
      <c r="F41" s="39"/>
      <c r="G41" s="38"/>
      <c r="H41" s="39"/>
      <c r="I41" s="38"/>
      <c r="J41" s="39"/>
      <c r="K41" s="38"/>
      <c r="L41" s="39"/>
      <c r="M41" s="38"/>
      <c r="N41" s="39"/>
      <c r="O41" s="38"/>
      <c r="P41" s="39"/>
      <c r="Q41" s="38"/>
      <c r="R41" s="39"/>
      <c r="S41" s="83"/>
      <c r="T41" s="90"/>
      <c r="U41" s="83"/>
      <c r="V41" s="84"/>
      <c r="W41" s="83"/>
      <c r="X41" s="84"/>
      <c r="Y41" s="85" cm="1">
        <f t="array" ref="Y41" xml:space="preserve"> _xlfn.IFS(Controler!$J$8&lt;7,0,Controler!$J$8&lt;13,0,Controler!$J$8&lt;20,270/1000*(Controler!$J$8-6*2)+0.2)</f>
        <v>0.47000000000000003</v>
      </c>
      <c r="Z41" s="53" t="str">
        <f>References!$C$30</f>
        <v>W2</v>
      </c>
      <c r="AB41" s="321"/>
      <c r="AC41" s="166"/>
      <c r="AD41" s="168"/>
      <c r="AE41" s="166"/>
      <c r="AF41" s="167"/>
      <c r="AG41" s="166"/>
      <c r="AH41" s="167"/>
      <c r="AI41" s="136"/>
      <c r="AJ41" s="137"/>
      <c r="AK41" s="136"/>
      <c r="AL41" s="137"/>
      <c r="AM41" s="136"/>
      <c r="AN41" s="137"/>
      <c r="AO41" s="136"/>
      <c r="AP41" s="137"/>
      <c r="AQ41" s="136"/>
      <c r="AR41" s="137"/>
      <c r="AS41" s="136"/>
      <c r="AT41" s="137"/>
      <c r="AU41" s="136"/>
      <c r="AV41" s="137"/>
      <c r="AW41" s="136"/>
      <c r="AX41" s="137"/>
      <c r="AY41" s="136"/>
      <c r="AZ41" s="137"/>
    </row>
    <row r="42" spans="2:52" ht="26" thickTop="1" thickBot="1" x14ac:dyDescent="0.4">
      <c r="B42" s="321" t="s">
        <v>64</v>
      </c>
      <c r="C42" s="36">
        <v>6</v>
      </c>
      <c r="D42" s="37"/>
      <c r="E42" s="36">
        <v>14</v>
      </c>
      <c r="F42" s="37"/>
      <c r="G42" s="36">
        <v>22</v>
      </c>
      <c r="H42" s="37"/>
      <c r="I42" s="36">
        <v>30</v>
      </c>
      <c r="J42" s="37"/>
      <c r="K42" s="36">
        <v>38</v>
      </c>
      <c r="L42" s="37"/>
      <c r="M42" s="36">
        <v>46</v>
      </c>
      <c r="N42" s="37"/>
      <c r="O42" s="36">
        <v>54</v>
      </c>
      <c r="P42" s="37"/>
      <c r="Q42" s="36">
        <v>62</v>
      </c>
      <c r="R42" s="37"/>
      <c r="S42" s="75">
        <v>70</v>
      </c>
      <c r="T42" s="89"/>
      <c r="U42" s="75">
        <v>78</v>
      </c>
      <c r="V42" s="76"/>
      <c r="W42" s="75">
        <v>86</v>
      </c>
      <c r="X42" s="76"/>
      <c r="Y42" s="75">
        <v>94</v>
      </c>
      <c r="Z42" s="76"/>
      <c r="AB42" s="321" t="s">
        <v>64</v>
      </c>
      <c r="AC42" s="171">
        <v>6</v>
      </c>
      <c r="AD42" s="172"/>
      <c r="AE42" s="171">
        <v>14</v>
      </c>
      <c r="AF42" s="172"/>
      <c r="AG42" s="171">
        <v>22</v>
      </c>
      <c r="AH42" s="172"/>
      <c r="AI42" s="171">
        <v>30</v>
      </c>
      <c r="AJ42" s="172"/>
      <c r="AK42" s="171">
        <v>38</v>
      </c>
      <c r="AL42" s="172"/>
      <c r="AM42" s="171">
        <v>46</v>
      </c>
      <c r="AN42" s="172"/>
      <c r="AO42" s="171">
        <v>54</v>
      </c>
      <c r="AP42" s="172"/>
      <c r="AQ42" s="171">
        <v>62</v>
      </c>
      <c r="AR42" s="172"/>
      <c r="AS42" s="171">
        <v>70</v>
      </c>
      <c r="AT42" s="172"/>
      <c r="AU42" s="171">
        <v>78</v>
      </c>
      <c r="AV42" s="172"/>
      <c r="AW42" s="171">
        <v>86</v>
      </c>
      <c r="AX42" s="172"/>
      <c r="AY42" s="171">
        <v>94</v>
      </c>
      <c r="AZ42" s="172"/>
    </row>
    <row r="43" spans="2:52" ht="25.5" thickBot="1" x14ac:dyDescent="0.4">
      <c r="B43" s="321"/>
      <c r="C43" s="38"/>
      <c r="D43" s="39"/>
      <c r="E43" s="38"/>
      <c r="F43" s="39"/>
      <c r="G43" s="38"/>
      <c r="H43" s="39"/>
      <c r="I43" s="38"/>
      <c r="J43" s="39"/>
      <c r="K43" s="38"/>
      <c r="L43" s="39"/>
      <c r="M43" s="38"/>
      <c r="N43" s="39"/>
      <c r="O43" s="38"/>
      <c r="P43" s="39"/>
      <c r="Q43" s="38"/>
      <c r="R43" s="39"/>
      <c r="S43" s="83"/>
      <c r="T43" s="90"/>
      <c r="U43" s="83"/>
      <c r="V43" s="84"/>
      <c r="W43" s="83"/>
      <c r="X43" s="84"/>
      <c r="Y43" s="83"/>
      <c r="Z43" s="84"/>
      <c r="AB43" s="321"/>
      <c r="AC43" s="173"/>
      <c r="AD43" s="174"/>
      <c r="AE43" s="173"/>
      <c r="AF43" s="175"/>
      <c r="AG43" s="173"/>
      <c r="AH43" s="175"/>
      <c r="AI43" s="173"/>
      <c r="AJ43" s="175"/>
      <c r="AK43" s="173"/>
      <c r="AL43" s="175"/>
      <c r="AM43" s="173"/>
      <c r="AN43" s="175"/>
      <c r="AO43" s="173"/>
      <c r="AP43" s="175"/>
      <c r="AQ43" s="173"/>
      <c r="AR43" s="175"/>
      <c r="AS43" s="173"/>
      <c r="AT43" s="175"/>
      <c r="AU43" s="173"/>
      <c r="AV43" s="175"/>
      <c r="AW43" s="173"/>
      <c r="AX43" s="175"/>
      <c r="AY43" s="173"/>
      <c r="AZ43" s="175"/>
    </row>
    <row r="44" spans="2:52" ht="26" thickTop="1" thickBot="1" x14ac:dyDescent="0.4">
      <c r="B44" s="321" t="s">
        <v>68</v>
      </c>
      <c r="C44" s="138">
        <v>7</v>
      </c>
      <c r="D44" s="139"/>
      <c r="E44" s="138">
        <v>15</v>
      </c>
      <c r="F44" s="139"/>
      <c r="G44" s="138">
        <v>23</v>
      </c>
      <c r="H44" s="139"/>
      <c r="I44" s="138">
        <v>31</v>
      </c>
      <c r="J44" s="139"/>
      <c r="K44" s="140">
        <v>39</v>
      </c>
      <c r="L44" s="141"/>
      <c r="M44" s="140">
        <v>47</v>
      </c>
      <c r="N44" s="141"/>
      <c r="O44" s="140">
        <v>55</v>
      </c>
      <c r="P44" s="141"/>
      <c r="Q44" s="36">
        <v>63</v>
      </c>
      <c r="R44" s="37"/>
      <c r="S44" s="75">
        <v>71</v>
      </c>
      <c r="T44" s="89"/>
      <c r="U44" s="75">
        <v>79</v>
      </c>
      <c r="V44" s="76"/>
      <c r="W44" s="75">
        <v>87</v>
      </c>
      <c r="X44" s="76"/>
      <c r="Y44" s="75">
        <v>95</v>
      </c>
      <c r="Z44" s="76"/>
      <c r="AB44" s="321" t="s">
        <v>68</v>
      </c>
      <c r="AC44" s="171">
        <v>7</v>
      </c>
      <c r="AD44" s="172"/>
      <c r="AE44" s="171">
        <v>15</v>
      </c>
      <c r="AF44" s="172"/>
      <c r="AG44" s="171">
        <v>23</v>
      </c>
      <c r="AH44" s="172"/>
      <c r="AI44" s="171">
        <v>31</v>
      </c>
      <c r="AJ44" s="172"/>
      <c r="AK44" s="171">
        <v>39</v>
      </c>
      <c r="AL44" s="172"/>
      <c r="AM44" s="171">
        <v>47</v>
      </c>
      <c r="AN44" s="172"/>
      <c r="AO44" s="171">
        <v>55</v>
      </c>
      <c r="AP44" s="172"/>
      <c r="AQ44" s="171">
        <v>63</v>
      </c>
      <c r="AR44" s="172"/>
      <c r="AS44" s="171">
        <v>71</v>
      </c>
      <c r="AT44" s="172"/>
      <c r="AU44" s="171">
        <v>79</v>
      </c>
      <c r="AV44" s="172"/>
      <c r="AW44" s="171">
        <v>87</v>
      </c>
      <c r="AX44" s="172"/>
      <c r="AY44" s="171">
        <v>95</v>
      </c>
      <c r="AZ44" s="172"/>
    </row>
    <row r="45" spans="2:52" ht="25.5" thickBot="1" x14ac:dyDescent="0.4">
      <c r="B45" s="333"/>
      <c r="C45" s="142" t="s">
        <v>76</v>
      </c>
      <c r="D45" s="143" t="s">
        <v>75</v>
      </c>
      <c r="E45" s="142" t="s">
        <v>105</v>
      </c>
      <c r="F45" s="143" t="s">
        <v>77</v>
      </c>
      <c r="G45" s="142" t="s">
        <v>83</v>
      </c>
      <c r="H45" s="143" t="s">
        <v>78</v>
      </c>
      <c r="I45" s="142" t="s">
        <v>82</v>
      </c>
      <c r="J45" s="143" t="s">
        <v>79</v>
      </c>
      <c r="K45" s="144" t="s">
        <v>99</v>
      </c>
      <c r="L45" s="145" t="s">
        <v>80</v>
      </c>
      <c r="M45" s="144" t="s">
        <v>98</v>
      </c>
      <c r="N45" s="145" t="s">
        <v>81</v>
      </c>
      <c r="O45" s="144" t="s">
        <v>98</v>
      </c>
      <c r="P45" s="145" t="s">
        <v>81</v>
      </c>
      <c r="Q45" s="92"/>
      <c r="R45" s="93"/>
      <c r="S45" s="94"/>
      <c r="T45" s="90"/>
      <c r="U45" s="94"/>
      <c r="V45" s="95"/>
      <c r="W45" s="94"/>
      <c r="X45" s="95"/>
      <c r="Y45" s="94"/>
      <c r="Z45" s="84"/>
      <c r="AB45" s="333"/>
      <c r="AC45" s="173"/>
      <c r="AD45" s="174"/>
      <c r="AE45" s="173"/>
      <c r="AF45" s="175"/>
      <c r="AG45" s="173"/>
      <c r="AH45" s="175"/>
      <c r="AI45" s="173"/>
      <c r="AJ45" s="175"/>
      <c r="AK45" s="173"/>
      <c r="AL45" s="175"/>
      <c r="AM45" s="173"/>
      <c r="AN45" s="175"/>
      <c r="AO45" s="173"/>
      <c r="AP45" s="175"/>
      <c r="AQ45" s="173"/>
      <c r="AR45" s="175"/>
      <c r="AS45" s="173"/>
      <c r="AT45" s="175"/>
      <c r="AU45" s="173"/>
      <c r="AV45" s="175"/>
      <c r="AW45" s="173"/>
      <c r="AX45" s="175"/>
      <c r="AY45" s="173"/>
      <c r="AZ45" s="175"/>
    </row>
    <row r="46" spans="2:52" ht="15.5" thickTop="1" thickBot="1" x14ac:dyDescent="0.4"/>
    <row r="47" spans="2:52" ht="21.5" thickTop="1" x14ac:dyDescent="0.35">
      <c r="C47" s="350" t="s">
        <v>97</v>
      </c>
      <c r="D47" s="351"/>
      <c r="E47" s="351"/>
      <c r="F47" s="351"/>
      <c r="G47" s="351"/>
      <c r="H47" s="351"/>
      <c r="I47" s="351"/>
      <c r="J47" s="351"/>
      <c r="K47" s="352"/>
    </row>
    <row r="48" spans="2:52" ht="21.5" customHeight="1" x14ac:dyDescent="0.35">
      <c r="C48" s="353" t="s">
        <v>77</v>
      </c>
      <c r="D48" s="354"/>
      <c r="E48" s="354"/>
      <c r="F48" s="354" t="s">
        <v>84</v>
      </c>
      <c r="G48" s="354"/>
      <c r="H48" s="354"/>
      <c r="I48" s="355" t="s">
        <v>85</v>
      </c>
      <c r="J48" s="355"/>
      <c r="K48" s="356"/>
    </row>
    <row r="49" spans="2:26" ht="21" x14ac:dyDescent="0.35">
      <c r="C49" s="212" t="s">
        <v>86</v>
      </c>
      <c r="D49" s="213">
        <v>500</v>
      </c>
      <c r="E49" s="213" t="s">
        <v>87</v>
      </c>
      <c r="F49" s="213" t="s">
        <v>86</v>
      </c>
      <c r="G49" s="213">
        <v>400</v>
      </c>
      <c r="H49" s="213" t="s">
        <v>87</v>
      </c>
      <c r="I49" s="214" t="s">
        <v>86</v>
      </c>
      <c r="J49" s="214">
        <v>2000</v>
      </c>
      <c r="K49" s="215" t="s">
        <v>87</v>
      </c>
    </row>
    <row r="50" spans="2:26" ht="21" x14ac:dyDescent="0.35">
      <c r="C50" s="216" t="s">
        <v>88</v>
      </c>
      <c r="D50" s="217">
        <f>D49</f>
        <v>500</v>
      </c>
      <c r="E50" s="213" t="s">
        <v>87</v>
      </c>
      <c r="F50" s="217" t="s">
        <v>78</v>
      </c>
      <c r="G50" s="217">
        <v>400</v>
      </c>
      <c r="H50" s="213" t="s">
        <v>87</v>
      </c>
      <c r="I50" s="218" t="s">
        <v>89</v>
      </c>
      <c r="J50" s="218">
        <f>2000*4/5</f>
        <v>1600</v>
      </c>
      <c r="K50" s="215" t="s">
        <v>87</v>
      </c>
    </row>
    <row r="51" spans="2:26" ht="21.5" thickBot="1" x14ac:dyDescent="0.4">
      <c r="C51" s="219" t="s">
        <v>90</v>
      </c>
      <c r="D51" s="220">
        <f>800/75000*D50</f>
        <v>5.333333333333333</v>
      </c>
      <c r="E51" s="221" t="s">
        <v>87</v>
      </c>
      <c r="F51" s="222" t="s">
        <v>91</v>
      </c>
      <c r="G51" s="220">
        <f>8/99*G50</f>
        <v>32.323232323232325</v>
      </c>
      <c r="H51" s="221" t="s">
        <v>87</v>
      </c>
      <c r="I51" s="223" t="s">
        <v>92</v>
      </c>
      <c r="J51" s="223">
        <f>J49*1/5</f>
        <v>400</v>
      </c>
      <c r="K51" s="224" t="s">
        <v>87</v>
      </c>
    </row>
    <row r="52" spans="2:26" ht="15" thickTop="1" x14ac:dyDescent="0.35"/>
    <row r="56" spans="2:26" ht="15" thickBot="1" x14ac:dyDescent="0.4"/>
    <row r="57" spans="2:26" ht="15" thickTop="1" x14ac:dyDescent="0.35">
      <c r="B57" s="299" t="s">
        <v>100</v>
      </c>
      <c r="C57" s="300"/>
      <c r="D57" s="300"/>
      <c r="E57" s="300"/>
      <c r="F57" s="300"/>
      <c r="G57" s="300"/>
      <c r="H57" s="300"/>
      <c r="I57" s="300"/>
      <c r="J57" s="300"/>
      <c r="K57" s="300"/>
      <c r="L57" s="300"/>
      <c r="M57" s="300"/>
      <c r="N57" s="300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1"/>
    </row>
    <row r="58" spans="2:26" x14ac:dyDescent="0.35">
      <c r="B58" s="302"/>
      <c r="C58" s="303"/>
      <c r="D58" s="303"/>
      <c r="E58" s="303"/>
      <c r="F58" s="303"/>
      <c r="G58" s="303"/>
      <c r="H58" s="303"/>
      <c r="I58" s="303"/>
      <c r="J58" s="303"/>
      <c r="K58" s="303"/>
      <c r="L58" s="303"/>
      <c r="M58" s="303"/>
      <c r="N58" s="303"/>
      <c r="O58" s="303"/>
      <c r="P58" s="303"/>
      <c r="Q58" s="303"/>
      <c r="R58" s="303"/>
      <c r="S58" s="303"/>
      <c r="T58" s="303"/>
      <c r="U58" s="303"/>
      <c r="V58" s="303"/>
      <c r="W58" s="303"/>
      <c r="X58" s="303"/>
      <c r="Y58" s="303"/>
      <c r="Z58" s="304"/>
    </row>
    <row r="59" spans="2:26" ht="25.5" thickBot="1" x14ac:dyDescent="0.5">
      <c r="B59" s="116"/>
      <c r="C59" s="311">
        <v>1</v>
      </c>
      <c r="D59" s="311"/>
      <c r="E59" s="311">
        <v>2</v>
      </c>
      <c r="F59" s="311"/>
      <c r="G59" s="311">
        <v>3</v>
      </c>
      <c r="H59" s="311"/>
      <c r="I59" s="311">
        <v>4</v>
      </c>
      <c r="J59" s="311"/>
      <c r="K59" s="311">
        <v>5</v>
      </c>
      <c r="L59" s="311"/>
      <c r="M59" s="311">
        <v>6</v>
      </c>
      <c r="N59" s="311"/>
      <c r="O59" s="311">
        <v>7</v>
      </c>
      <c r="P59" s="311"/>
      <c r="Q59" s="311">
        <v>8</v>
      </c>
      <c r="R59" s="311"/>
      <c r="S59" s="311">
        <v>9</v>
      </c>
      <c r="T59" s="311"/>
      <c r="U59" s="311">
        <v>10</v>
      </c>
      <c r="V59" s="311"/>
      <c r="W59" s="311">
        <v>11</v>
      </c>
      <c r="X59" s="311"/>
      <c r="Y59" s="311">
        <v>12</v>
      </c>
      <c r="Z59" s="332"/>
    </row>
    <row r="60" spans="2:26" ht="23.5" thickTop="1" thickBot="1" x14ac:dyDescent="0.4">
      <c r="B60" s="321" t="s">
        <v>58</v>
      </c>
      <c r="C60" s="122">
        <v>0</v>
      </c>
      <c r="D60" s="123"/>
      <c r="E60" s="122">
        <v>8</v>
      </c>
      <c r="F60" s="123"/>
      <c r="G60" s="122">
        <v>16</v>
      </c>
      <c r="H60" s="123"/>
      <c r="I60" s="122">
        <v>24</v>
      </c>
      <c r="J60" s="123"/>
      <c r="K60" s="122">
        <v>32</v>
      </c>
      <c r="L60" s="123"/>
      <c r="M60" s="122">
        <v>40</v>
      </c>
      <c r="N60" s="123"/>
      <c r="O60" s="122">
        <v>48</v>
      </c>
      <c r="P60" s="123"/>
      <c r="Q60" s="122">
        <v>56</v>
      </c>
      <c r="R60" s="123"/>
      <c r="S60" s="122">
        <v>64</v>
      </c>
      <c r="T60" s="123"/>
      <c r="U60" s="122">
        <v>72</v>
      </c>
      <c r="V60" s="123"/>
      <c r="W60" s="122">
        <v>80</v>
      </c>
      <c r="X60" s="123"/>
      <c r="Y60" s="122">
        <v>88</v>
      </c>
      <c r="Z60" s="123"/>
    </row>
    <row r="61" spans="2:26" ht="23" thickBot="1" x14ac:dyDescent="0.4">
      <c r="B61" s="321"/>
      <c r="C61" s="124"/>
      <c r="D61" s="176"/>
      <c r="E61" s="124"/>
      <c r="F61" s="176"/>
      <c r="G61" s="124"/>
      <c r="H61" s="176"/>
      <c r="I61" s="124"/>
      <c r="J61" s="176"/>
      <c r="K61" s="124"/>
      <c r="L61" s="176"/>
      <c r="M61" s="124"/>
      <c r="N61" s="176"/>
      <c r="O61" s="124"/>
      <c r="P61" s="176"/>
      <c r="Q61" s="124"/>
      <c r="R61" s="176"/>
      <c r="S61" s="124"/>
      <c r="T61" s="176"/>
      <c r="U61" s="124"/>
      <c r="V61" s="176"/>
      <c r="W61" s="124"/>
      <c r="X61" s="176"/>
      <c r="Y61" s="124"/>
      <c r="Z61" s="176"/>
    </row>
    <row r="62" spans="2:26" ht="23.5" thickTop="1" thickBot="1" x14ac:dyDescent="0.4">
      <c r="B62" s="321" t="s">
        <v>66</v>
      </c>
      <c r="C62" s="122">
        <v>1</v>
      </c>
      <c r="D62" s="123"/>
      <c r="E62" s="122">
        <v>9</v>
      </c>
      <c r="F62" s="123"/>
      <c r="G62" s="122">
        <v>17</v>
      </c>
      <c r="H62" s="123"/>
      <c r="I62" s="122">
        <v>25</v>
      </c>
      <c r="J62" s="123"/>
      <c r="K62" s="122">
        <v>33</v>
      </c>
      <c r="L62" s="123"/>
      <c r="M62" s="122">
        <v>41</v>
      </c>
      <c r="N62" s="123"/>
      <c r="O62" s="122">
        <v>49</v>
      </c>
      <c r="P62" s="123"/>
      <c r="Q62" s="122">
        <v>57</v>
      </c>
      <c r="R62" s="123"/>
      <c r="S62" s="122">
        <v>65</v>
      </c>
      <c r="T62" s="123"/>
      <c r="U62" s="122">
        <v>73</v>
      </c>
      <c r="V62" s="123"/>
      <c r="W62" s="122">
        <v>81</v>
      </c>
      <c r="X62" s="123"/>
      <c r="Y62" s="122">
        <v>89</v>
      </c>
      <c r="Z62" s="123"/>
    </row>
    <row r="63" spans="2:26" ht="23" thickBot="1" x14ac:dyDescent="0.4">
      <c r="B63" s="321"/>
      <c r="C63" s="124"/>
      <c r="D63" s="176"/>
      <c r="E63" s="124"/>
      <c r="F63" s="176"/>
      <c r="G63" s="124"/>
      <c r="H63" s="176"/>
      <c r="I63" s="124"/>
      <c r="J63" s="176"/>
      <c r="K63" s="124"/>
      <c r="L63" s="176"/>
      <c r="M63" s="124"/>
      <c r="N63" s="176"/>
      <c r="O63" s="124"/>
      <c r="P63" s="176"/>
      <c r="Q63" s="124"/>
      <c r="R63" s="176"/>
      <c r="S63" s="124"/>
      <c r="T63" s="176"/>
      <c r="U63" s="124"/>
      <c r="V63" s="176"/>
      <c r="W63" s="124"/>
      <c r="X63" s="176"/>
      <c r="Y63" s="124"/>
      <c r="Z63" s="176"/>
    </row>
    <row r="64" spans="2:26" ht="23.5" thickTop="1" thickBot="1" x14ac:dyDescent="0.4">
      <c r="B64" s="321" t="s">
        <v>63</v>
      </c>
      <c r="C64" s="122">
        <v>2</v>
      </c>
      <c r="D64" s="123"/>
      <c r="E64" s="122">
        <v>10</v>
      </c>
      <c r="F64" s="123"/>
      <c r="G64" s="122">
        <v>18</v>
      </c>
      <c r="H64" s="123"/>
      <c r="I64" s="122">
        <v>26</v>
      </c>
      <c r="J64" s="123"/>
      <c r="K64" s="122">
        <v>34</v>
      </c>
      <c r="L64" s="123"/>
      <c r="M64" s="122">
        <v>42</v>
      </c>
      <c r="N64" s="123"/>
      <c r="O64" s="122">
        <v>50</v>
      </c>
      <c r="P64" s="123"/>
      <c r="Q64" s="122">
        <v>58</v>
      </c>
      <c r="R64" s="123"/>
      <c r="S64" s="122">
        <v>66</v>
      </c>
      <c r="T64" s="123"/>
      <c r="U64" s="122">
        <v>74</v>
      </c>
      <c r="V64" s="123"/>
      <c r="W64" s="122">
        <v>82</v>
      </c>
      <c r="X64" s="123"/>
      <c r="Y64" s="122">
        <v>90</v>
      </c>
      <c r="Z64" s="123"/>
    </row>
    <row r="65" spans="2:26" ht="23" thickBot="1" x14ac:dyDescent="0.4">
      <c r="B65" s="321"/>
      <c r="C65" s="124"/>
      <c r="D65" s="176"/>
      <c r="E65" s="124"/>
      <c r="F65" s="176"/>
      <c r="G65" s="124"/>
      <c r="H65" s="176"/>
      <c r="I65" s="124"/>
      <c r="J65" s="176"/>
      <c r="K65" s="124"/>
      <c r="L65" s="176"/>
      <c r="M65" s="124"/>
      <c r="N65" s="176"/>
      <c r="O65" s="124"/>
      <c r="P65" s="176"/>
      <c r="Q65" s="124"/>
      <c r="R65" s="176"/>
      <c r="S65" s="124"/>
      <c r="T65" s="176"/>
      <c r="U65" s="124"/>
      <c r="V65" s="176"/>
      <c r="W65" s="124"/>
      <c r="X65" s="176"/>
      <c r="Y65" s="124"/>
      <c r="Z65" s="176"/>
    </row>
    <row r="66" spans="2:26" ht="23.5" thickTop="1" thickBot="1" x14ac:dyDescent="0.4">
      <c r="B66" s="321" t="s">
        <v>61</v>
      </c>
      <c r="C66" s="122">
        <v>3</v>
      </c>
      <c r="D66" s="123"/>
      <c r="E66" s="122">
        <v>11</v>
      </c>
      <c r="F66" s="123"/>
      <c r="G66" s="122">
        <v>19</v>
      </c>
      <c r="H66" s="123"/>
      <c r="I66" s="122">
        <v>27</v>
      </c>
      <c r="J66" s="123"/>
      <c r="K66" s="122">
        <v>35</v>
      </c>
      <c r="L66" s="123"/>
      <c r="M66" s="122">
        <v>43</v>
      </c>
      <c r="N66" s="123"/>
      <c r="O66" s="122">
        <v>51</v>
      </c>
      <c r="P66" s="123"/>
      <c r="Q66" s="122">
        <v>59</v>
      </c>
      <c r="R66" s="123"/>
      <c r="S66" s="122">
        <v>67</v>
      </c>
      <c r="T66" s="123"/>
      <c r="U66" s="122">
        <v>75</v>
      </c>
      <c r="V66" s="123"/>
      <c r="W66" s="122">
        <v>83</v>
      </c>
      <c r="X66" s="123"/>
      <c r="Y66" s="122">
        <v>91</v>
      </c>
      <c r="Z66" s="123"/>
    </row>
    <row r="67" spans="2:26" ht="23" thickBot="1" x14ac:dyDescent="0.4">
      <c r="B67" s="321"/>
      <c r="C67" s="124"/>
      <c r="D67" s="176"/>
      <c r="E67" s="124"/>
      <c r="F67" s="176"/>
      <c r="G67" s="124"/>
      <c r="H67" s="176"/>
      <c r="I67" s="124"/>
      <c r="J67" s="176"/>
      <c r="K67" s="124"/>
      <c r="L67" s="176"/>
      <c r="M67" s="124"/>
      <c r="N67" s="176"/>
      <c r="O67" s="124"/>
      <c r="P67" s="176"/>
      <c r="Q67" s="124"/>
      <c r="R67" s="176"/>
      <c r="S67" s="124"/>
      <c r="T67" s="176"/>
      <c r="U67" s="124"/>
      <c r="V67" s="176"/>
      <c r="W67" s="124"/>
      <c r="X67" s="176"/>
      <c r="Y67" s="124"/>
      <c r="Z67" s="176"/>
    </row>
    <row r="68" spans="2:26" ht="23.5" thickTop="1" thickBot="1" x14ac:dyDescent="0.4">
      <c r="B68" s="321" t="s">
        <v>59</v>
      </c>
      <c r="C68" s="122">
        <v>4</v>
      </c>
      <c r="D68" s="123"/>
      <c r="E68" s="122">
        <v>12</v>
      </c>
      <c r="F68" s="123"/>
      <c r="G68" s="122">
        <v>20</v>
      </c>
      <c r="H68" s="123"/>
      <c r="I68" s="122">
        <v>28</v>
      </c>
      <c r="J68" s="123"/>
      <c r="K68" s="122">
        <v>36</v>
      </c>
      <c r="L68" s="123"/>
      <c r="M68" s="122">
        <v>44</v>
      </c>
      <c r="N68" s="123"/>
      <c r="O68" s="122">
        <v>52</v>
      </c>
      <c r="P68" s="123"/>
      <c r="Q68" s="122">
        <v>60</v>
      </c>
      <c r="R68" s="123"/>
      <c r="S68" s="122">
        <v>68</v>
      </c>
      <c r="T68" s="123"/>
      <c r="U68" s="122">
        <v>76</v>
      </c>
      <c r="V68" s="123"/>
      <c r="W68" s="122">
        <v>84</v>
      </c>
      <c r="X68" s="123"/>
      <c r="Y68" s="122">
        <v>92</v>
      </c>
      <c r="Z68" s="123"/>
    </row>
    <row r="69" spans="2:26" ht="23" thickBot="1" x14ac:dyDescent="0.4">
      <c r="B69" s="321"/>
      <c r="C69" s="124"/>
      <c r="D69" s="177"/>
      <c r="E69" s="124"/>
      <c r="F69" s="176"/>
      <c r="G69" s="124"/>
      <c r="H69" s="176"/>
      <c r="I69" s="124"/>
      <c r="J69" s="176"/>
      <c r="K69" s="124"/>
      <c r="L69" s="176"/>
      <c r="M69" s="124"/>
      <c r="N69" s="176"/>
      <c r="O69" s="124"/>
      <c r="P69" s="176"/>
      <c r="Q69" s="124"/>
      <c r="R69" s="176"/>
      <c r="S69" s="124"/>
      <c r="T69" s="176"/>
      <c r="U69" s="124"/>
      <c r="V69" s="176"/>
      <c r="W69" s="124"/>
      <c r="X69" s="176"/>
      <c r="Y69" s="124"/>
      <c r="Z69" s="176"/>
    </row>
    <row r="70" spans="2:26" ht="23.5" thickTop="1" thickBot="1" x14ac:dyDescent="0.4">
      <c r="B70" s="321" t="s">
        <v>67</v>
      </c>
      <c r="C70" s="122">
        <v>5</v>
      </c>
      <c r="D70" s="123"/>
      <c r="E70" s="122">
        <v>13</v>
      </c>
      <c r="F70" s="123"/>
      <c r="G70" s="122">
        <v>21</v>
      </c>
      <c r="H70" s="123"/>
      <c r="I70" s="122">
        <v>29</v>
      </c>
      <c r="J70" s="123"/>
      <c r="K70" s="122">
        <v>37</v>
      </c>
      <c r="L70" s="123"/>
      <c r="M70" s="122">
        <v>45</v>
      </c>
      <c r="N70" s="123"/>
      <c r="O70" s="122">
        <v>53</v>
      </c>
      <c r="P70" s="123"/>
      <c r="Q70" s="122">
        <v>61</v>
      </c>
      <c r="R70" s="123"/>
      <c r="S70" s="122">
        <v>69</v>
      </c>
      <c r="T70" s="123"/>
      <c r="U70" s="122">
        <v>77</v>
      </c>
      <c r="V70" s="123"/>
      <c r="W70" s="122">
        <v>85</v>
      </c>
      <c r="X70" s="123"/>
      <c r="Y70" s="122">
        <v>93</v>
      </c>
      <c r="Z70" s="123"/>
    </row>
    <row r="71" spans="2:26" ht="23" thickBot="1" x14ac:dyDescent="0.4">
      <c r="B71" s="321"/>
      <c r="C71" s="124"/>
      <c r="D71" s="177"/>
      <c r="E71" s="124"/>
      <c r="F71" s="176"/>
      <c r="G71" s="124"/>
      <c r="H71" s="176"/>
      <c r="I71" s="124"/>
      <c r="J71" s="176"/>
      <c r="K71" s="124"/>
      <c r="L71" s="176"/>
      <c r="M71" s="124"/>
      <c r="N71" s="176"/>
      <c r="O71" s="124"/>
      <c r="P71" s="176"/>
      <c r="Q71" s="124"/>
      <c r="R71" s="176"/>
      <c r="S71" s="124"/>
      <c r="T71" s="176"/>
      <c r="U71" s="124"/>
      <c r="V71" s="176"/>
      <c r="W71" s="124"/>
      <c r="X71" s="176"/>
      <c r="Y71" s="124"/>
      <c r="Z71" s="176"/>
    </row>
    <row r="72" spans="2:26" ht="23.5" thickTop="1" thickBot="1" x14ac:dyDescent="0.4">
      <c r="B72" s="321" t="s">
        <v>64</v>
      </c>
      <c r="C72" s="122">
        <v>6</v>
      </c>
      <c r="D72" s="123"/>
      <c r="E72" s="122">
        <v>14</v>
      </c>
      <c r="F72" s="123"/>
      <c r="G72" s="122">
        <v>22</v>
      </c>
      <c r="H72" s="123"/>
      <c r="I72" s="122">
        <v>30</v>
      </c>
      <c r="J72" s="123"/>
      <c r="K72" s="122">
        <v>38</v>
      </c>
      <c r="L72" s="123"/>
      <c r="M72" s="122">
        <v>46</v>
      </c>
      <c r="N72" s="123"/>
      <c r="O72" s="122">
        <v>54</v>
      </c>
      <c r="P72" s="123"/>
      <c r="Q72" s="122">
        <v>62</v>
      </c>
      <c r="R72" s="123"/>
      <c r="S72" s="122">
        <v>70</v>
      </c>
      <c r="T72" s="123"/>
      <c r="U72" s="122">
        <v>78</v>
      </c>
      <c r="V72" s="123"/>
      <c r="W72" s="122">
        <v>86</v>
      </c>
      <c r="X72" s="123"/>
      <c r="Y72" s="122">
        <v>94</v>
      </c>
      <c r="Z72" s="123"/>
    </row>
    <row r="73" spans="2:26" ht="23" thickBot="1" x14ac:dyDescent="0.4">
      <c r="B73" s="321"/>
      <c r="C73" s="124"/>
      <c r="D73" s="177"/>
      <c r="E73" s="124"/>
      <c r="F73" s="176"/>
      <c r="G73" s="124"/>
      <c r="H73" s="176"/>
      <c r="I73" s="124"/>
      <c r="J73" s="176"/>
      <c r="K73" s="124"/>
      <c r="L73" s="176"/>
      <c r="M73" s="124"/>
      <c r="N73" s="176"/>
      <c r="O73" s="124"/>
      <c r="P73" s="176"/>
      <c r="Q73" s="124"/>
      <c r="R73" s="176"/>
      <c r="S73" s="124"/>
      <c r="T73" s="176"/>
      <c r="U73" s="124"/>
      <c r="V73" s="176"/>
      <c r="W73" s="124"/>
      <c r="X73" s="176"/>
      <c r="Y73" s="124"/>
      <c r="Z73" s="176"/>
    </row>
    <row r="74" spans="2:26" ht="23.5" thickTop="1" thickBot="1" x14ac:dyDescent="0.4">
      <c r="B74" s="321" t="s">
        <v>68</v>
      </c>
      <c r="C74" s="122">
        <v>7</v>
      </c>
      <c r="D74" s="123"/>
      <c r="E74" s="122">
        <v>15</v>
      </c>
      <c r="F74" s="123"/>
      <c r="G74" s="122">
        <v>23</v>
      </c>
      <c r="H74" s="123"/>
      <c r="I74" s="122">
        <v>31</v>
      </c>
      <c r="J74" s="123"/>
      <c r="K74" s="122">
        <v>39</v>
      </c>
      <c r="L74" s="123"/>
      <c r="M74" s="122">
        <v>47</v>
      </c>
      <c r="N74" s="123"/>
      <c r="O74" s="122">
        <v>55</v>
      </c>
      <c r="P74" s="123"/>
      <c r="Q74" s="122">
        <v>63</v>
      </c>
      <c r="R74" s="123"/>
      <c r="S74" s="122">
        <v>71</v>
      </c>
      <c r="T74" s="123"/>
      <c r="U74" s="122">
        <v>79</v>
      </c>
      <c r="V74" s="123"/>
      <c r="W74" s="122">
        <v>87</v>
      </c>
      <c r="X74" s="123"/>
      <c r="Y74" s="122">
        <v>95</v>
      </c>
      <c r="Z74" s="123"/>
    </row>
    <row r="75" spans="2:26" ht="23" thickBot="1" x14ac:dyDescent="0.4">
      <c r="B75" s="333"/>
      <c r="C75" s="124"/>
      <c r="D75" s="177"/>
      <c r="E75" s="124"/>
      <c r="F75" s="176"/>
      <c r="G75" s="124"/>
      <c r="H75" s="176"/>
      <c r="I75" s="124"/>
      <c r="J75" s="176"/>
      <c r="K75" s="124"/>
      <c r="L75" s="176"/>
      <c r="M75" s="124"/>
      <c r="N75" s="176"/>
      <c r="O75" s="124"/>
      <c r="P75" s="176"/>
      <c r="Q75" s="124"/>
      <c r="R75" s="176"/>
      <c r="S75" s="124"/>
      <c r="T75" s="176"/>
      <c r="U75" s="124"/>
      <c r="V75" s="176"/>
      <c r="W75" s="124"/>
      <c r="X75" s="176"/>
      <c r="Y75" s="124"/>
      <c r="Z75" s="176"/>
    </row>
    <row r="76" spans="2:26" ht="15" thickTop="1" x14ac:dyDescent="0.35"/>
  </sheetData>
  <mergeCells count="110">
    <mergeCell ref="B70:B71"/>
    <mergeCell ref="B72:B73"/>
    <mergeCell ref="B74:B75"/>
    <mergeCell ref="B60:B61"/>
    <mergeCell ref="B62:B63"/>
    <mergeCell ref="B64:B65"/>
    <mergeCell ref="B66:B67"/>
    <mergeCell ref="B68:B69"/>
    <mergeCell ref="B57:Z58"/>
    <mergeCell ref="C59:D59"/>
    <mergeCell ref="E59:F59"/>
    <mergeCell ref="G59:H59"/>
    <mergeCell ref="I59:J59"/>
    <mergeCell ref="K59:L59"/>
    <mergeCell ref="M59:N59"/>
    <mergeCell ref="O59:P59"/>
    <mergeCell ref="Q59:R59"/>
    <mergeCell ref="S59:T59"/>
    <mergeCell ref="U59:V59"/>
    <mergeCell ref="W59:X59"/>
    <mergeCell ref="Y59:Z59"/>
    <mergeCell ref="AB42:AB43"/>
    <mergeCell ref="AB44:AB45"/>
    <mergeCell ref="C47:K47"/>
    <mergeCell ref="C48:E48"/>
    <mergeCell ref="F48:H48"/>
    <mergeCell ref="I48:K48"/>
    <mergeCell ref="AB40:AB41"/>
    <mergeCell ref="AO29:AP29"/>
    <mergeCell ref="AQ29:AR29"/>
    <mergeCell ref="AB32:AB33"/>
    <mergeCell ref="AB34:AB35"/>
    <mergeCell ref="AB36:AB37"/>
    <mergeCell ref="AB38:AB39"/>
    <mergeCell ref="AW29:AX29"/>
    <mergeCell ref="AY29:AZ29"/>
    <mergeCell ref="AC29:AD29"/>
    <mergeCell ref="AE29:AF29"/>
    <mergeCell ref="AG29:AH29"/>
    <mergeCell ref="AI29:AJ29"/>
    <mergeCell ref="AK29:AL29"/>
    <mergeCell ref="AM29:AN29"/>
    <mergeCell ref="B2:AZ3"/>
    <mergeCell ref="AB6:AZ7"/>
    <mergeCell ref="AI8:AJ8"/>
    <mergeCell ref="B13:B14"/>
    <mergeCell ref="B15:B16"/>
    <mergeCell ref="B17:B18"/>
    <mergeCell ref="B19:B20"/>
    <mergeCell ref="B21:B22"/>
    <mergeCell ref="B23:B24"/>
    <mergeCell ref="S8:T8"/>
    <mergeCell ref="U8:V8"/>
    <mergeCell ref="W8:X8"/>
    <mergeCell ref="Y8:Z8"/>
    <mergeCell ref="B9:B10"/>
    <mergeCell ref="B11:B12"/>
    <mergeCell ref="B6:Z7"/>
    <mergeCell ref="AQ8:AR8"/>
    <mergeCell ref="AS8:AT8"/>
    <mergeCell ref="AU8:AV8"/>
    <mergeCell ref="AC8:AD8"/>
    <mergeCell ref="AE8:AF8"/>
    <mergeCell ref="AG8:AH8"/>
    <mergeCell ref="AB17:AB18"/>
    <mergeCell ref="AB19:AB20"/>
    <mergeCell ref="AB21:AB22"/>
    <mergeCell ref="AB23:AB24"/>
    <mergeCell ref="AS29:AT29"/>
    <mergeCell ref="AU29:AV29"/>
    <mergeCell ref="AB30:AB31"/>
    <mergeCell ref="K8:L8"/>
    <mergeCell ref="M8:N8"/>
    <mergeCell ref="O8:P8"/>
    <mergeCell ref="Q8:R8"/>
    <mergeCell ref="B36:B37"/>
    <mergeCell ref="C8:D8"/>
    <mergeCell ref="E8:F8"/>
    <mergeCell ref="G8:H8"/>
    <mergeCell ref="I8:J8"/>
    <mergeCell ref="B32:B33"/>
    <mergeCell ref="AB27:AZ28"/>
    <mergeCell ref="AW8:AX8"/>
    <mergeCell ref="AY8:AZ8"/>
    <mergeCell ref="AB9:AB10"/>
    <mergeCell ref="AB11:AB12"/>
    <mergeCell ref="AB13:AB14"/>
    <mergeCell ref="AB15:AB16"/>
    <mergeCell ref="AK8:AL8"/>
    <mergeCell ref="AM8:AN8"/>
    <mergeCell ref="AO8:AP8"/>
    <mergeCell ref="B38:B39"/>
    <mergeCell ref="B40:B41"/>
    <mergeCell ref="B42:B43"/>
    <mergeCell ref="B44:B45"/>
    <mergeCell ref="B34:B35"/>
    <mergeCell ref="B27:Z28"/>
    <mergeCell ref="C29:D29"/>
    <mergeCell ref="E29:F29"/>
    <mergeCell ref="G29:H29"/>
    <mergeCell ref="I29:J29"/>
    <mergeCell ref="K29:L29"/>
    <mergeCell ref="M29:N29"/>
    <mergeCell ref="O29:P29"/>
    <mergeCell ref="Q29:R29"/>
    <mergeCell ref="S29:T29"/>
    <mergeCell ref="U29:V29"/>
    <mergeCell ref="W29:X29"/>
    <mergeCell ref="Y29:Z29"/>
    <mergeCell ref="B30:B31"/>
  </mergeCells>
  <pageMargins left="0.7" right="0.7" top="0.75" bottom="0.75" header="0.3" footer="0.3"/>
  <pageSetup paperSize="9" scale="23" orientation="landscape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2" id="{7F657387-FCD4-4D97-83C1-6C3B48D7AF29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C11:D12</xm:sqref>
        </x14:conditionalFormatting>
        <x14:conditionalFormatting xmlns:xm="http://schemas.microsoft.com/office/excel/2006/main">
          <x14:cfRule type="expression" priority="295" id="{EA90E906-174E-4B96-A159-925BE43FF1F0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C13:D14</xm:sqref>
        </x14:conditionalFormatting>
        <x14:conditionalFormatting xmlns:xm="http://schemas.microsoft.com/office/excel/2006/main">
          <x14:cfRule type="expression" priority="297" id="{29946B22-9E2B-4F2A-B580-9B05DE485909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C15:D16</xm:sqref>
        </x14:conditionalFormatting>
        <x14:conditionalFormatting xmlns:xm="http://schemas.microsoft.com/office/excel/2006/main">
          <x14:cfRule type="expression" priority="299" id="{CCC03BF7-48D4-4D5E-BB46-51F8A5BBA72C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C17:D18</xm:sqref>
        </x14:conditionalFormatting>
        <x14:conditionalFormatting xmlns:xm="http://schemas.microsoft.com/office/excel/2006/main">
          <x14:cfRule type="expression" priority="301" id="{9398A791-0D40-4B41-AC35-CA8C29CD7575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C19:D20</xm:sqref>
        </x14:conditionalFormatting>
        <x14:conditionalFormatting xmlns:xm="http://schemas.microsoft.com/office/excel/2006/main">
          <x14:cfRule type="expression" priority="303" id="{15709452-1BEE-4077-98C5-4795FA5ACB9F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C21:D22</xm:sqref>
        </x14:conditionalFormatting>
        <x14:conditionalFormatting xmlns:xm="http://schemas.microsoft.com/office/excel/2006/main">
          <x14:cfRule type="expression" priority="305" id="{DD931935-1623-4057-9218-15AB7051F5BD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C23:D24</xm:sqref>
        </x14:conditionalFormatting>
        <x14:conditionalFormatting xmlns:xm="http://schemas.microsoft.com/office/excel/2006/main">
          <x14:cfRule type="expression" priority="307" id="{F888A50E-13C6-43AB-8F35-7CF47B11DC2D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E9:F10</xm:sqref>
        </x14:conditionalFormatting>
        <x14:conditionalFormatting xmlns:xm="http://schemas.microsoft.com/office/excel/2006/main">
          <x14:cfRule type="expression" priority="309" id="{81E7F253-B72B-4C2E-9065-1DFCEC9166BF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E11:F12</xm:sqref>
        </x14:conditionalFormatting>
        <x14:conditionalFormatting xmlns:xm="http://schemas.microsoft.com/office/excel/2006/main">
          <x14:cfRule type="expression" priority="311" id="{2692B593-3840-4E54-BA02-F09E2B0C2AA7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E13:F14</xm:sqref>
        </x14:conditionalFormatting>
        <x14:conditionalFormatting xmlns:xm="http://schemas.microsoft.com/office/excel/2006/main">
          <x14:cfRule type="expression" priority="313" id="{30DA4AA2-843A-4624-BDB5-94EA3BD27F7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E15:F16</xm:sqref>
        </x14:conditionalFormatting>
        <x14:conditionalFormatting xmlns:xm="http://schemas.microsoft.com/office/excel/2006/main">
          <x14:cfRule type="expression" priority="315" id="{B65821BF-C841-4F2F-80A2-FD2290FB0DBA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E17:F18</xm:sqref>
        </x14:conditionalFormatting>
        <x14:conditionalFormatting xmlns:xm="http://schemas.microsoft.com/office/excel/2006/main">
          <x14:cfRule type="expression" priority="317" id="{093A433E-B674-45DC-B95F-4F000FF010D6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E19:F20</xm:sqref>
        </x14:conditionalFormatting>
        <x14:conditionalFormatting xmlns:xm="http://schemas.microsoft.com/office/excel/2006/main">
          <x14:cfRule type="expression" priority="319" id="{BFE7268A-C53A-475F-AD7B-A9EEC4F33CCD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E21:F22</xm:sqref>
        </x14:conditionalFormatting>
        <x14:conditionalFormatting xmlns:xm="http://schemas.microsoft.com/office/excel/2006/main">
          <x14:cfRule type="expression" priority="321" id="{42D824DE-8A46-4125-92F9-60004AE4D966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E23:F24</xm:sqref>
        </x14:conditionalFormatting>
        <x14:conditionalFormatting xmlns:xm="http://schemas.microsoft.com/office/excel/2006/main">
          <x14:cfRule type="expression" priority="323" id="{EBE79DE3-AD53-4E26-B6F6-2A06D01F48EC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G9:H10</xm:sqref>
        </x14:conditionalFormatting>
        <x14:conditionalFormatting xmlns:xm="http://schemas.microsoft.com/office/excel/2006/main">
          <x14:cfRule type="expression" priority="325" id="{3084AC60-C3E4-47D5-A88E-91B474CA14C4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G11:H12</xm:sqref>
        </x14:conditionalFormatting>
        <x14:conditionalFormatting xmlns:xm="http://schemas.microsoft.com/office/excel/2006/main">
          <x14:cfRule type="expression" priority="327" id="{6FE8F6B5-6B73-4197-AEBF-798B41720A89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G13:H14</xm:sqref>
        </x14:conditionalFormatting>
        <x14:conditionalFormatting xmlns:xm="http://schemas.microsoft.com/office/excel/2006/main">
          <x14:cfRule type="expression" priority="329" id="{96A585A6-CA47-4BAB-81BE-0BA1E3F0BBE3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G15:H16</xm:sqref>
        </x14:conditionalFormatting>
        <x14:conditionalFormatting xmlns:xm="http://schemas.microsoft.com/office/excel/2006/main">
          <x14:cfRule type="expression" priority="58" id="{938FF7A3-53AD-4FFC-9EF5-7A6A9A64560E}">
            <xm:f>References!$C$37&gt;0</xm:f>
            <x14:dxf>
              <fill>
                <patternFill>
                  <bgColor rgb="FFC9D3BE"/>
                </patternFill>
              </fill>
            </x14:dxf>
          </x14:cfRule>
          <xm:sqref>I38:J39</xm:sqref>
        </x14:conditionalFormatting>
        <x14:conditionalFormatting xmlns:xm="http://schemas.microsoft.com/office/excel/2006/main">
          <x14:cfRule type="expression" priority="20" id="{B8427454-AB0A-4677-99CD-EB490E5DD8BC}">
            <xm:f>Controler!$J$8&gt;=1</xm:f>
            <x14:dxf>
              <fill>
                <patternFill>
                  <bgColor rgb="FFE6ECF3"/>
                </patternFill>
              </fill>
            </x14:dxf>
          </x14:cfRule>
          <xm:sqref>AC9:AF10 AE11:AF16</xm:sqref>
        </x14:conditionalFormatting>
        <x14:conditionalFormatting xmlns:xm="http://schemas.microsoft.com/office/excel/2006/main">
          <x14:cfRule type="expression" priority="21" id="{958B96E8-EDEB-43A7-A622-C8B8300432C7}">
            <xm:f>Controler!$J$8&gt;=2</xm:f>
            <x14:dxf>
              <fill>
                <patternFill>
                  <bgColor rgb="FFCCD8E7"/>
                </patternFill>
              </fill>
            </x14:dxf>
          </x14:cfRule>
          <xm:sqref>AG9:AH16</xm:sqref>
        </x14:conditionalFormatting>
        <x14:conditionalFormatting xmlns:xm="http://schemas.microsoft.com/office/excel/2006/main">
          <x14:cfRule type="expression" priority="22" id="{1DD2A937-5D3A-4048-AEBF-0D99FF9E6861}">
            <xm:f>Controler!$J$8&gt;=3</xm:f>
            <x14:dxf>
              <fill>
                <patternFill>
                  <bgColor rgb="FFB3C5DA"/>
                </patternFill>
              </fill>
            </x14:dxf>
          </x14:cfRule>
          <xm:sqref>AI9:AJ16</xm:sqref>
        </x14:conditionalFormatting>
        <x14:conditionalFormatting xmlns:xm="http://schemas.microsoft.com/office/excel/2006/main">
          <x14:cfRule type="expression" priority="23" id="{3C900C63-EDD8-476B-86F7-C535CE911346}">
            <xm:f>Controler!$J$8&gt;=4</xm:f>
            <x14:dxf>
              <fill>
                <patternFill>
                  <bgColor rgb="FF809EC2"/>
                </patternFill>
              </fill>
            </x14:dxf>
          </x14:cfRule>
          <xm:sqref>AK9:AL16</xm:sqref>
        </x14:conditionalFormatting>
        <x14:conditionalFormatting xmlns:xm="http://schemas.microsoft.com/office/excel/2006/main">
          <x14:cfRule type="expression" priority="24" id="{04CF1FDE-24B8-46E2-B035-2BFB47822D3A}">
            <xm:f>Controler!$J$8&gt;=5</xm:f>
            <x14:dxf>
              <fill>
                <patternFill>
                  <bgColor rgb="FFEBE7F2"/>
                </patternFill>
              </fill>
            </x14:dxf>
          </x14:cfRule>
          <xm:sqref>AO9:AP16</xm:sqref>
        </x14:conditionalFormatting>
        <x14:conditionalFormatting xmlns:xm="http://schemas.microsoft.com/office/excel/2006/main">
          <x14:cfRule type="expression" priority="25" id="{C5A6894E-A862-42A0-B619-013A91C397D3}">
            <xm:f>Controler!$J$8&gt;=6</xm:f>
            <x14:dxf>
              <fill>
                <patternFill>
                  <bgColor rgb="FFD7CEE6"/>
                </patternFill>
              </fill>
            </x14:dxf>
          </x14:cfRule>
          <xm:sqref>AQ9:AR16</xm:sqref>
        </x14:conditionalFormatting>
        <x14:conditionalFormatting xmlns:xm="http://schemas.microsoft.com/office/excel/2006/main">
          <x14:cfRule type="expression" priority="26" id="{3BAF15E5-E021-4394-B626-B5823A195C27}">
            <xm:f>Controler!$J$8&gt;=7</xm:f>
            <x14:dxf>
              <fill>
                <patternFill>
                  <bgColor rgb="FFC4B6D9"/>
                </patternFill>
              </fill>
            </x14:dxf>
          </x14:cfRule>
          <xm:sqref>AS9:AT16</xm:sqref>
        </x14:conditionalFormatting>
        <x14:conditionalFormatting xmlns:xm="http://schemas.microsoft.com/office/excel/2006/main">
          <x14:cfRule type="expression" priority="27" id="{B30B105D-F464-4BF9-BB89-873FA90ED5A2}">
            <xm:f>Controler!$J$8&gt;=8</xm:f>
            <x14:dxf>
              <fill>
                <patternFill>
                  <bgColor rgb="FF9C85C0"/>
                </patternFill>
              </fill>
            </x14:dxf>
          </x14:cfRule>
          <xm:sqref>AU9:AV16</xm:sqref>
        </x14:conditionalFormatting>
        <x14:conditionalFormatting xmlns:xm="http://schemas.microsoft.com/office/excel/2006/main">
          <x14:cfRule type="expression" priority="28" id="{2198F240-7BAC-4F03-AB06-99B5A27DBA2D}">
            <xm:f>Controler!$J$8&gt;=9</xm:f>
            <x14:dxf>
              <fill>
                <patternFill>
                  <bgColor rgb="FFF6E9ED"/>
                </patternFill>
              </fill>
            </x14:dxf>
          </x14:cfRule>
          <xm:sqref>AY9:AZ16</xm:sqref>
        </x14:conditionalFormatting>
        <x14:conditionalFormatting xmlns:xm="http://schemas.microsoft.com/office/excel/2006/main">
          <x14:cfRule type="expression" priority="29" id="{DC9E438D-B170-4821-819B-CC4B0D839476}">
            <xm:f>Controler!$J$8&gt;=10</xm:f>
            <x14:dxf>
              <fill>
                <patternFill>
                  <bgColor rgb="FFECD3DC"/>
                </patternFill>
              </fill>
            </x14:dxf>
          </x14:cfRule>
          <xm:sqref>AC17:AD24</xm:sqref>
        </x14:conditionalFormatting>
        <x14:conditionalFormatting xmlns:xm="http://schemas.microsoft.com/office/excel/2006/main">
          <x14:cfRule type="expression" priority="30" id="{F368A882-46FA-49ED-B0D6-162E85A4F7A0}">
            <xm:f>Controler!$J$8&gt;=11</xm:f>
            <x14:dxf>
              <fill>
                <patternFill>
                  <bgColor rgb="FFE3BECA"/>
                </patternFill>
              </fill>
            </x14:dxf>
          </x14:cfRule>
          <xm:sqref>AE17:AF24</xm:sqref>
        </x14:conditionalFormatting>
        <x14:conditionalFormatting xmlns:xm="http://schemas.microsoft.com/office/excel/2006/main">
          <x14:cfRule type="expression" priority="31" id="{12FD75DB-0F6E-4638-BBDF-DFB3A7A01247}">
            <xm:f>Controler!$J$8&gt;=12</xm:f>
            <x14:dxf>
              <fill>
                <patternFill>
                  <bgColor rgb="FFD092A7"/>
                </patternFill>
              </fill>
            </x14:dxf>
          </x14:cfRule>
          <xm:sqref>AG17:AH24</xm:sqref>
        </x14:conditionalFormatting>
        <x14:conditionalFormatting xmlns:xm="http://schemas.microsoft.com/office/excel/2006/main">
          <x14:cfRule type="expression" priority="32" id="{6D5FF7BA-DA03-4128-8E4B-63D1EB0CF860}">
            <xm:f>Controler!$J$8&gt;=13</xm:f>
            <x14:dxf>
              <fill>
                <patternFill>
                  <bgColor rgb="FFFAF2D4"/>
                </patternFill>
              </fill>
            </x14:dxf>
          </x14:cfRule>
          <xm:sqref>AK17:AL24</xm:sqref>
        </x14:conditionalFormatting>
        <x14:conditionalFormatting xmlns:xm="http://schemas.microsoft.com/office/excel/2006/main">
          <x14:cfRule type="expression" priority="33" id="{69663E8E-EAEA-4450-85D1-747544C47853}">
            <xm:f>Controler!$J$8&gt;=14</xm:f>
            <x14:dxf>
              <fill>
                <patternFill>
                  <bgColor rgb="FFF5E4A9"/>
                </patternFill>
              </fill>
            </x14:dxf>
          </x14:cfRule>
          <xm:sqref>AM17:AN24</xm:sqref>
        </x14:conditionalFormatting>
        <x14:conditionalFormatting xmlns:xm="http://schemas.microsoft.com/office/excel/2006/main">
          <x14:cfRule type="expression" priority="34" id="{C6C5F480-1584-46BE-8821-5877754EEEF8}">
            <xm:f>Controler!$J$8&gt;=15</xm:f>
            <x14:dxf>
              <fill>
                <patternFill>
                  <bgColor rgb="FFF1D77F"/>
                </patternFill>
              </fill>
            </x14:dxf>
          </x14:cfRule>
          <xm:sqref>AO17:AP24</xm:sqref>
        </x14:conditionalFormatting>
        <x14:conditionalFormatting xmlns:xm="http://schemas.microsoft.com/office/excel/2006/main">
          <x14:cfRule type="expression" priority="35" id="{BBE82E09-3020-4BB2-8DA0-9BB1A8704319}">
            <xm:f>Controler!$J$8&gt;=16</xm:f>
            <x14:dxf>
              <fill>
                <patternFill>
                  <bgColor rgb="FFE7BC29"/>
                </patternFill>
              </fill>
            </x14:dxf>
          </x14:cfRule>
          <xm:sqref>AQ17:AR24</xm:sqref>
        </x14:conditionalFormatting>
        <x14:conditionalFormatting xmlns:xm="http://schemas.microsoft.com/office/excel/2006/main">
          <x14:cfRule type="expression" priority="36" id="{7BA40647-167D-4A0F-88A9-AD755045DAAD}">
            <xm:f>Controler!$J$8&gt;=17</xm:f>
            <x14:dxf>
              <fill>
                <patternFill>
                  <bgColor rgb="FFFDEDDA"/>
                </patternFill>
              </fill>
            </x14:dxf>
          </x14:cfRule>
          <xm:sqref>AU17:AV24</xm:sqref>
        </x14:conditionalFormatting>
        <x14:conditionalFormatting xmlns:xm="http://schemas.microsoft.com/office/excel/2006/main">
          <x14:cfRule type="expression" priority="37" id="{55828FBB-22F9-40B0-AED8-C0AD0C01BE80}">
            <xm:f>Controler!$J$8&gt;=18</xm:f>
            <x14:dxf>
              <fill>
                <patternFill>
                  <bgColor rgb="FFFADBB5"/>
                </patternFill>
              </fill>
            </x14:dxf>
          </x14:cfRule>
          <xm:sqref>AW17:AX24</xm:sqref>
        </x14:conditionalFormatting>
        <x14:conditionalFormatting xmlns:xm="http://schemas.microsoft.com/office/excel/2006/main">
          <x14:cfRule type="expression" priority="38" id="{108E531E-28E3-40FC-A840-E32B02FD37D0}">
            <xm:f>Controler!$J$8&gt;=19</xm:f>
            <x14:dxf>
              <fill>
                <patternFill>
                  <bgColor rgb="FFF8C891"/>
                </patternFill>
              </fill>
            </x14:dxf>
          </x14:cfRule>
          <xm:sqref>AY17:AZ24</xm:sqref>
        </x14:conditionalFormatting>
        <x14:conditionalFormatting xmlns:xm="http://schemas.microsoft.com/office/excel/2006/main">
          <x14:cfRule type="expression" priority="19" id="{84746836-61E8-4E94-8C49-D8FBE8DA6C77}">
            <xm:f>Controler!$J$8=1</xm:f>
            <x14:dxf>
              <fill>
                <patternFill>
                  <bgColor theme="5"/>
                </patternFill>
              </fill>
            </x14:dxf>
          </x14:cfRule>
          <x14:cfRule type="expression" priority="39" id="{07D6F572-E5FE-468C-B345-2A85D7048E8E}">
            <xm:f>Controler!$J$8&gt;=1</xm:f>
            <x14:dxf>
              <fill>
                <patternFill>
                  <bgColor rgb="FFCCD8E7"/>
                </patternFill>
              </fill>
            </x14:dxf>
          </x14:cfRule>
          <xm:sqref>AC11:AD12</xm:sqref>
        </x14:conditionalFormatting>
        <x14:conditionalFormatting xmlns:xm="http://schemas.microsoft.com/office/excel/2006/main">
          <x14:cfRule type="expression" priority="18" id="{9D6AC334-985A-4B79-8C3C-AA747195C43B}">
            <xm:f>Controler!$J$8=2</xm:f>
            <x14:dxf>
              <fill>
                <patternFill>
                  <bgColor theme="5"/>
                </patternFill>
              </fill>
            </x14:dxf>
          </x14:cfRule>
          <x14:cfRule type="expression" priority="40" id="{2DE7D5C3-81F7-4452-B16B-3B19D2797EBE}">
            <xm:f>Controler!$J$8&gt;=2</xm:f>
            <x14:dxf>
              <fill>
                <patternFill>
                  <bgColor rgb="FFB3C5DA"/>
                </patternFill>
              </fill>
            </x14:dxf>
          </x14:cfRule>
          <xm:sqref>AC13:AD14</xm:sqref>
        </x14:conditionalFormatting>
        <x14:conditionalFormatting xmlns:xm="http://schemas.microsoft.com/office/excel/2006/main">
          <x14:cfRule type="expression" priority="17" id="{3D79B0E9-CEF5-4841-94C0-2BF5C76EC64A}">
            <xm:f>Controler!$J$8=3</xm:f>
            <x14:dxf>
              <fill>
                <patternFill>
                  <bgColor theme="5"/>
                </patternFill>
              </fill>
            </x14:dxf>
          </x14:cfRule>
          <x14:cfRule type="expression" priority="41" id="{E20CA790-7B80-4269-B3BE-AAE440082FEB}">
            <xm:f>Controler!$J$8&gt;=3</xm:f>
            <x14:dxf>
              <fill>
                <patternFill>
                  <bgColor rgb="FF809EC2"/>
                </patternFill>
              </fill>
            </x14:dxf>
          </x14:cfRule>
          <xm:sqref>AC15:AD16</xm:sqref>
        </x14:conditionalFormatting>
        <x14:conditionalFormatting xmlns:xm="http://schemas.microsoft.com/office/excel/2006/main">
          <x14:cfRule type="expression" priority="16" id="{68B75CCB-6354-4410-B328-956F3AA24AD8}">
            <xm:f>Controler!$J$8=4</xm:f>
            <x14:dxf>
              <fill>
                <patternFill>
                  <bgColor theme="5"/>
                </patternFill>
              </fill>
            </x14:dxf>
          </x14:cfRule>
          <x14:cfRule type="expression" priority="42" id="{7277A028-C16C-40E7-B3E2-F5EFBBD4C182}">
            <xm:f>Controler!$J$8&gt;=4</xm:f>
            <x14:dxf>
              <fill>
                <patternFill>
                  <bgColor rgb="FFEBE7F2"/>
                </patternFill>
              </fill>
            </x14:dxf>
          </x14:cfRule>
          <xm:sqref>AM9:AN10</xm:sqref>
        </x14:conditionalFormatting>
        <x14:conditionalFormatting xmlns:xm="http://schemas.microsoft.com/office/excel/2006/main">
          <x14:cfRule type="expression" priority="15" id="{C7B14643-6143-481C-BB77-DD16B4C8CAFB}">
            <xm:f>Controler!$J$8=5</xm:f>
            <x14:dxf>
              <fill>
                <patternFill>
                  <bgColor theme="5"/>
                </patternFill>
              </fill>
            </x14:dxf>
          </x14:cfRule>
          <x14:cfRule type="expression" priority="43" id="{14CBDEEA-DA45-4EA8-9E0E-BEC1644E15B1}">
            <xm:f>Controler!$J$8&gt;=5</xm:f>
            <x14:dxf>
              <fill>
                <patternFill>
                  <bgColor rgb="FFD7CEE6"/>
                </patternFill>
              </fill>
            </x14:dxf>
          </x14:cfRule>
          <xm:sqref>AM11:AN12</xm:sqref>
        </x14:conditionalFormatting>
        <x14:conditionalFormatting xmlns:xm="http://schemas.microsoft.com/office/excel/2006/main">
          <x14:cfRule type="expression" priority="14" id="{C2EC1AF3-75E0-46C9-82BD-12E3FBF06382}">
            <xm:f>Controler!$J$8=6</xm:f>
            <x14:dxf>
              <fill>
                <patternFill>
                  <bgColor theme="5"/>
                </patternFill>
              </fill>
            </x14:dxf>
          </x14:cfRule>
          <x14:cfRule type="expression" priority="44" id="{22131454-AA79-4158-85B2-84439FB73743}">
            <xm:f>Controler!$J$8&gt;=6</xm:f>
            <x14:dxf>
              <fill>
                <patternFill>
                  <bgColor rgb="FFC4B6D9"/>
                </patternFill>
              </fill>
            </x14:dxf>
          </x14:cfRule>
          <xm:sqref>AM13:AN14</xm:sqref>
        </x14:conditionalFormatting>
        <x14:conditionalFormatting xmlns:xm="http://schemas.microsoft.com/office/excel/2006/main">
          <x14:cfRule type="expression" priority="13" id="{8B1D0541-E267-437E-A9A1-721B5BF374C6}">
            <xm:f>Controler!$J$8=7</xm:f>
            <x14:dxf>
              <fill>
                <patternFill>
                  <bgColor theme="5"/>
                </patternFill>
              </fill>
            </x14:dxf>
          </x14:cfRule>
          <x14:cfRule type="expression" priority="45" id="{570F6485-A310-469C-8CBD-CC13E6CC4A31}">
            <xm:f>Controler!$J$8&gt;=7</xm:f>
            <x14:dxf>
              <fill>
                <patternFill>
                  <bgColor rgb="FF9C85C0"/>
                </patternFill>
              </fill>
            </x14:dxf>
          </x14:cfRule>
          <xm:sqref>AM15:AN16</xm:sqref>
        </x14:conditionalFormatting>
        <x14:conditionalFormatting xmlns:xm="http://schemas.microsoft.com/office/excel/2006/main">
          <x14:cfRule type="expression" priority="12" id="{53EF59A6-C2CF-4AD9-B4B6-F7961410DC91}">
            <xm:f>Controler!$J$8=8</xm:f>
            <x14:dxf>
              <fill>
                <patternFill>
                  <bgColor theme="5"/>
                </patternFill>
              </fill>
            </x14:dxf>
          </x14:cfRule>
          <x14:cfRule type="expression" priority="46" id="{25C169BC-4126-47B0-B927-9669EA46B08D}">
            <xm:f>Controler!$J$8&gt;=8</xm:f>
            <x14:dxf>
              <fill>
                <patternFill>
                  <bgColor rgb="FFF6E9ED"/>
                </patternFill>
              </fill>
            </x14:dxf>
          </x14:cfRule>
          <xm:sqref>AW9:AX10</xm:sqref>
        </x14:conditionalFormatting>
        <x14:conditionalFormatting xmlns:xm="http://schemas.microsoft.com/office/excel/2006/main">
          <x14:cfRule type="expression" priority="11" id="{9AB2CE66-C39D-456C-8503-7A9546D708B1}">
            <xm:f>Controler!$J$8=9</xm:f>
            <x14:dxf>
              <fill>
                <patternFill>
                  <bgColor theme="5"/>
                </patternFill>
              </fill>
            </x14:dxf>
          </x14:cfRule>
          <x14:cfRule type="expression" priority="47" id="{A9FA8120-DC48-4385-B63B-27D27FD15126}">
            <xm:f>Controler!$J$8&gt;=9</xm:f>
            <x14:dxf>
              <fill>
                <patternFill>
                  <bgColor rgb="FFECD3DC"/>
                </patternFill>
              </fill>
            </x14:dxf>
          </x14:cfRule>
          <xm:sqref>AW11:AX12</xm:sqref>
        </x14:conditionalFormatting>
        <x14:conditionalFormatting xmlns:xm="http://schemas.microsoft.com/office/excel/2006/main">
          <x14:cfRule type="expression" priority="10" id="{5BCA6D88-D295-4B66-9989-8674182D646F}">
            <xm:f>Controler!$J$8=10</xm:f>
            <x14:dxf>
              <fill>
                <patternFill>
                  <bgColor theme="5"/>
                </patternFill>
              </fill>
            </x14:dxf>
          </x14:cfRule>
          <x14:cfRule type="expression" priority="48" id="{B05D84CB-1F07-4A83-B104-2DAA63661FCC}">
            <xm:f>Controler!$J$8&gt;=10</xm:f>
            <x14:dxf>
              <fill>
                <patternFill>
                  <bgColor rgb="FFE3BECA"/>
                </patternFill>
              </fill>
            </x14:dxf>
          </x14:cfRule>
          <xm:sqref>AW13:AX14</xm:sqref>
        </x14:conditionalFormatting>
        <x14:conditionalFormatting xmlns:xm="http://schemas.microsoft.com/office/excel/2006/main">
          <x14:cfRule type="expression" priority="9" id="{A0A4BD39-84A5-4B87-A6EE-1FEC45E1E47A}">
            <xm:f>Controler!$J$8=11</xm:f>
            <x14:dxf>
              <fill>
                <patternFill>
                  <bgColor theme="5"/>
                </patternFill>
              </fill>
            </x14:dxf>
          </x14:cfRule>
          <x14:cfRule type="expression" priority="49" id="{614201C1-3612-4E5D-8E32-B481EB2707D2}">
            <xm:f>Controler!$J$8&gt;=11</xm:f>
            <x14:dxf>
              <fill>
                <patternFill>
                  <bgColor rgb="FFD092A7"/>
                </patternFill>
              </fill>
            </x14:dxf>
          </x14:cfRule>
          <xm:sqref>AW15:AX16</xm:sqref>
        </x14:conditionalFormatting>
        <x14:conditionalFormatting xmlns:xm="http://schemas.microsoft.com/office/excel/2006/main">
          <x14:cfRule type="expression" priority="8" id="{AFFF91F8-F0F4-4243-9E00-AEA8B3FF63E1}">
            <xm:f>Controler!$J$8=12</xm:f>
            <x14:dxf>
              <fill>
                <patternFill>
                  <bgColor theme="5"/>
                </patternFill>
              </fill>
            </x14:dxf>
          </x14:cfRule>
          <x14:cfRule type="expression" priority="50" id="{D3BD3881-DBF6-4214-8784-47387E0068D6}">
            <xm:f>Controler!$J$8&gt;=12</xm:f>
            <x14:dxf>
              <fill>
                <patternFill>
                  <bgColor rgb="FFFAF2D4"/>
                </patternFill>
              </fill>
            </x14:dxf>
          </x14:cfRule>
          <xm:sqref>AI17:AJ18</xm:sqref>
        </x14:conditionalFormatting>
        <x14:conditionalFormatting xmlns:xm="http://schemas.microsoft.com/office/excel/2006/main">
          <x14:cfRule type="expression" priority="7" id="{356AB273-68AD-4DFA-8AF2-504950D80CDC}">
            <xm:f>Controler!$J$8=13</xm:f>
            <x14:dxf>
              <fill>
                <patternFill>
                  <bgColor theme="5"/>
                </patternFill>
              </fill>
            </x14:dxf>
          </x14:cfRule>
          <x14:cfRule type="expression" priority="51" id="{5CEF9903-D975-450F-BAEF-5AF2BA5CA6A4}">
            <xm:f>Controler!$J$8&gt;=13</xm:f>
            <x14:dxf>
              <fill>
                <patternFill>
                  <bgColor rgb="FFF5E4A9"/>
                </patternFill>
              </fill>
            </x14:dxf>
          </x14:cfRule>
          <xm:sqref>AI19:AJ20</xm:sqref>
        </x14:conditionalFormatting>
        <x14:conditionalFormatting xmlns:xm="http://schemas.microsoft.com/office/excel/2006/main">
          <x14:cfRule type="expression" priority="6" id="{711375A0-DCFA-470C-98DD-357D97077628}">
            <xm:f>Controler!$J$8=14</xm:f>
            <x14:dxf>
              <fill>
                <patternFill>
                  <bgColor theme="5"/>
                </patternFill>
              </fill>
            </x14:dxf>
          </x14:cfRule>
          <x14:cfRule type="expression" priority="52" id="{319986C6-13A8-45CD-A449-2425F13CBB30}">
            <xm:f>Controler!$J$8&gt;=14</xm:f>
            <x14:dxf>
              <fill>
                <patternFill>
                  <bgColor rgb="FFF1D77F"/>
                </patternFill>
              </fill>
            </x14:dxf>
          </x14:cfRule>
          <xm:sqref>AI21:AJ22</xm:sqref>
        </x14:conditionalFormatting>
        <x14:conditionalFormatting xmlns:xm="http://schemas.microsoft.com/office/excel/2006/main">
          <x14:cfRule type="expression" priority="5" id="{66CC9398-7251-4FCD-A75C-AA17D7B369E5}">
            <xm:f>Controler!$J$8=15</xm:f>
            <x14:dxf>
              <fill>
                <patternFill>
                  <bgColor theme="5"/>
                </patternFill>
              </fill>
            </x14:dxf>
          </x14:cfRule>
          <x14:cfRule type="expression" priority="53" id="{80B25744-14D9-4AD2-A6DD-F790B8E38AA8}">
            <xm:f>Controler!$J$8&gt;=15</xm:f>
            <x14:dxf>
              <fill>
                <patternFill>
                  <bgColor rgb="FFE7BC29"/>
                </patternFill>
              </fill>
            </x14:dxf>
          </x14:cfRule>
          <xm:sqref>AI23:AJ24</xm:sqref>
        </x14:conditionalFormatting>
        <x14:conditionalFormatting xmlns:xm="http://schemas.microsoft.com/office/excel/2006/main">
          <x14:cfRule type="expression" priority="4" id="{2FC0B597-0101-44D4-BF1D-E9E26F50999B}">
            <xm:f>Controler!$J$8=16</xm:f>
            <x14:dxf>
              <fill>
                <patternFill>
                  <bgColor theme="5"/>
                </patternFill>
              </fill>
            </x14:dxf>
          </x14:cfRule>
          <x14:cfRule type="expression" priority="54" id="{94CEED26-20D3-44FC-A733-7D0656CDC5C9}">
            <xm:f>Controler!$J$8&gt;=16</xm:f>
            <x14:dxf>
              <fill>
                <patternFill>
                  <bgColor rgb="FFFDEDDA"/>
                </patternFill>
              </fill>
            </x14:dxf>
          </x14:cfRule>
          <xm:sqref>AS17:AT18</xm:sqref>
        </x14:conditionalFormatting>
        <x14:conditionalFormatting xmlns:xm="http://schemas.microsoft.com/office/excel/2006/main">
          <x14:cfRule type="expression" priority="3" id="{84B14D57-0EAF-418B-B6A1-4E579A9BAE0C}">
            <xm:f>Controler!$J$8=17</xm:f>
            <x14:dxf>
              <fill>
                <patternFill>
                  <bgColor theme="5"/>
                </patternFill>
              </fill>
            </x14:dxf>
          </x14:cfRule>
          <x14:cfRule type="expression" priority="55" id="{6FCDA3BD-6152-4656-865D-2729CF896214}">
            <xm:f>Controler!$J$8&gt;=17</xm:f>
            <x14:dxf>
              <fill>
                <patternFill>
                  <bgColor rgb="FFFADBB5"/>
                </patternFill>
              </fill>
            </x14:dxf>
          </x14:cfRule>
          <xm:sqref>AS19:AT20</xm:sqref>
        </x14:conditionalFormatting>
        <x14:conditionalFormatting xmlns:xm="http://schemas.microsoft.com/office/excel/2006/main">
          <x14:cfRule type="expression" priority="2" id="{A814EC3D-71B3-4A5E-A5F9-89D62FBBFF55}">
            <xm:f>Controler!$J$8=18</xm:f>
            <x14:dxf>
              <fill>
                <patternFill>
                  <bgColor theme="5"/>
                </patternFill>
              </fill>
            </x14:dxf>
          </x14:cfRule>
          <x14:cfRule type="expression" priority="56" id="{12E8B749-3EC3-4D8F-8897-95088493E4A9}">
            <xm:f>Controler!$J$8&gt;=18</xm:f>
            <x14:dxf>
              <fill>
                <patternFill>
                  <bgColor rgb="FFF8C891"/>
                </patternFill>
              </fill>
            </x14:dxf>
          </x14:cfRule>
          <xm:sqref>AS21:AT22</xm:sqref>
        </x14:conditionalFormatting>
        <x14:conditionalFormatting xmlns:xm="http://schemas.microsoft.com/office/excel/2006/main">
          <x14:cfRule type="expression" priority="1" id="{F216A5CE-612B-4C74-B327-9A637AED55E9}">
            <xm:f>Controler!$J$8=19</xm:f>
            <x14:dxf>
              <fill>
                <patternFill>
                  <bgColor theme="5"/>
                </patternFill>
              </fill>
            </x14:dxf>
          </x14:cfRule>
          <x14:cfRule type="expression" priority="57" id="{0D383AC4-58A7-4B25-9889-B04B792D6D10}">
            <xm:f>Controler!$J$8&gt;=19</xm:f>
            <x14:dxf>
              <fill>
                <patternFill>
                  <bgColor rgb="FFF3A447"/>
                </patternFill>
              </fill>
            </x14:dxf>
          </x14:cfRule>
          <xm:sqref>AS23:AT24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B3068-1EE8-4B77-A967-C269CED61A51}">
  <sheetPr codeName="Feuil4"/>
  <dimension ref="B1:H49"/>
  <sheetViews>
    <sheetView zoomScale="60" zoomScaleNormal="60" workbookViewId="0">
      <selection activeCell="D27" sqref="D27"/>
    </sheetView>
  </sheetViews>
  <sheetFormatPr baseColWidth="10" defaultRowHeight="15.5" x14ac:dyDescent="0.35"/>
  <cols>
    <col min="1" max="1" width="7.26953125" style="2" customWidth="1"/>
    <col min="2" max="2" width="26.54296875" style="2" bestFit="1" customWidth="1"/>
    <col min="3" max="3" width="25.453125" style="2" bestFit="1" customWidth="1"/>
    <col min="4" max="4" width="36.453125" style="2" bestFit="1" customWidth="1"/>
    <col min="5" max="5" width="34.6328125" style="2" bestFit="1" customWidth="1"/>
    <col min="6" max="6" width="32.90625" style="2" bestFit="1" customWidth="1"/>
    <col min="7" max="7" width="30.36328125" style="2" bestFit="1" customWidth="1"/>
    <col min="8" max="8" width="21.90625" style="2" bestFit="1" customWidth="1"/>
    <col min="9" max="16384" width="10.90625" style="2"/>
  </cols>
  <sheetData>
    <row r="1" spans="2:8" ht="16" thickBot="1" x14ac:dyDescent="0.4"/>
    <row r="2" spans="2:8" ht="16" customHeight="1" thickTop="1" x14ac:dyDescent="0.35">
      <c r="B2" s="359" t="s">
        <v>56</v>
      </c>
      <c r="C2" s="360"/>
      <c r="D2" s="360"/>
      <c r="E2" s="360"/>
      <c r="F2" s="360"/>
      <c r="G2" s="360"/>
      <c r="H2" s="361"/>
    </row>
    <row r="3" spans="2:8" ht="15.5" customHeight="1" x14ac:dyDescent="0.35">
      <c r="B3" s="362"/>
      <c r="C3" s="363"/>
      <c r="D3" s="363"/>
      <c r="E3" s="363"/>
      <c r="F3" s="363"/>
      <c r="G3" s="363"/>
      <c r="H3" s="364"/>
    </row>
    <row r="4" spans="2:8" ht="16" thickBot="1" x14ac:dyDescent="0.4">
      <c r="B4" s="28"/>
      <c r="C4" s="28"/>
      <c r="D4" s="28"/>
      <c r="E4" s="28"/>
      <c r="F4" s="28"/>
      <c r="G4" s="28"/>
      <c r="H4" s="28"/>
    </row>
    <row r="5" spans="2:8" ht="20" thickTop="1" x14ac:dyDescent="0.35">
      <c r="B5" s="367" t="s">
        <v>7</v>
      </c>
      <c r="C5" s="368"/>
      <c r="D5" s="368"/>
      <c r="E5" s="368"/>
      <c r="F5" s="368"/>
      <c r="G5" s="368"/>
      <c r="H5" s="369"/>
    </row>
    <row r="6" spans="2:8" ht="20" customHeight="1" x14ac:dyDescent="0.35">
      <c r="B6" s="365" t="s">
        <v>3</v>
      </c>
      <c r="C6" s="366"/>
      <c r="D6" s="366" t="s">
        <v>4</v>
      </c>
      <c r="E6" s="366"/>
      <c r="F6" s="366" t="s">
        <v>5</v>
      </c>
      <c r="G6" s="366"/>
      <c r="H6" s="29" t="s">
        <v>27</v>
      </c>
    </row>
    <row r="7" spans="2:8" ht="15.5" customHeight="1" x14ac:dyDescent="0.35">
      <c r="B7" s="13" t="s">
        <v>8</v>
      </c>
      <c r="C7" s="19" t="s">
        <v>9</v>
      </c>
      <c r="D7" s="14" t="s">
        <v>8</v>
      </c>
      <c r="E7" s="19" t="s">
        <v>9</v>
      </c>
      <c r="F7" s="14" t="s">
        <v>8</v>
      </c>
      <c r="G7" s="19" t="s">
        <v>9</v>
      </c>
      <c r="H7" s="12">
        <v>1</v>
      </c>
    </row>
    <row r="8" spans="2:8" ht="17.5" customHeight="1" x14ac:dyDescent="0.35">
      <c r="B8" s="15" t="s">
        <v>6</v>
      </c>
      <c r="C8" s="26" t="s">
        <v>10</v>
      </c>
      <c r="D8" s="14" t="s">
        <v>15</v>
      </c>
      <c r="E8" s="26" t="s">
        <v>16</v>
      </c>
      <c r="F8" s="14" t="s">
        <v>17</v>
      </c>
      <c r="G8" s="26" t="s">
        <v>20</v>
      </c>
      <c r="H8" s="12">
        <v>2</v>
      </c>
    </row>
    <row r="9" spans="2:8" x14ac:dyDescent="0.35">
      <c r="B9" s="20"/>
      <c r="C9" s="21"/>
      <c r="D9" s="14" t="s">
        <v>13</v>
      </c>
      <c r="E9" s="26" t="s">
        <v>14</v>
      </c>
      <c r="F9" s="16" t="s">
        <v>19</v>
      </c>
      <c r="G9" s="26" t="s">
        <v>18</v>
      </c>
      <c r="H9" s="12">
        <v>3</v>
      </c>
    </row>
    <row r="10" spans="2:8" x14ac:dyDescent="0.35">
      <c r="B10" s="20"/>
      <c r="C10" s="21"/>
      <c r="D10" s="14" t="s">
        <v>11</v>
      </c>
      <c r="E10" s="26" t="s">
        <v>12</v>
      </c>
      <c r="F10" s="14" t="s">
        <v>21</v>
      </c>
      <c r="G10" s="26" t="s">
        <v>22</v>
      </c>
      <c r="H10" s="12">
        <v>4</v>
      </c>
    </row>
    <row r="11" spans="2:8" x14ac:dyDescent="0.35">
      <c r="B11" s="20"/>
      <c r="C11" s="21"/>
      <c r="D11" s="21"/>
      <c r="E11" s="21"/>
      <c r="F11" s="16" t="s">
        <v>24</v>
      </c>
      <c r="G11" s="26" t="s">
        <v>23</v>
      </c>
      <c r="H11" s="12">
        <v>5</v>
      </c>
    </row>
    <row r="12" spans="2:8" x14ac:dyDescent="0.35">
      <c r="B12" s="20"/>
      <c r="C12" s="21"/>
      <c r="D12" s="21"/>
      <c r="E12" s="21"/>
      <c r="F12" s="21"/>
      <c r="G12" s="21"/>
      <c r="H12" s="12">
        <v>6</v>
      </c>
    </row>
    <row r="13" spans="2:8" x14ac:dyDescent="0.35">
      <c r="B13" s="20"/>
      <c r="C13" s="21"/>
      <c r="D13" s="21"/>
      <c r="E13" s="21"/>
      <c r="F13" s="21"/>
      <c r="G13" s="21"/>
      <c r="H13" s="12">
        <v>7</v>
      </c>
    </row>
    <row r="14" spans="2:8" x14ac:dyDescent="0.35">
      <c r="B14" s="20"/>
      <c r="C14" s="21"/>
      <c r="D14" s="21"/>
      <c r="E14" s="21"/>
      <c r="F14" s="21"/>
      <c r="G14" s="21"/>
      <c r="H14" s="12">
        <v>8</v>
      </c>
    </row>
    <row r="15" spans="2:8" x14ac:dyDescent="0.35">
      <c r="B15" s="20"/>
      <c r="C15" s="21"/>
      <c r="D15" s="21"/>
      <c r="E15" s="21"/>
      <c r="F15" s="21"/>
      <c r="G15" s="21"/>
      <c r="H15" s="12">
        <v>9</v>
      </c>
    </row>
    <row r="16" spans="2:8" x14ac:dyDescent="0.35">
      <c r="B16" s="20"/>
      <c r="C16" s="21"/>
      <c r="D16" s="21"/>
      <c r="E16" s="21"/>
      <c r="F16" s="21"/>
      <c r="G16" s="21"/>
      <c r="H16" s="12">
        <v>10</v>
      </c>
    </row>
    <row r="17" spans="2:8" ht="16" thickBot="1" x14ac:dyDescent="0.4">
      <c r="B17" s="22"/>
      <c r="C17" s="23"/>
      <c r="D17" s="23"/>
      <c r="E17" s="23"/>
      <c r="F17" s="23"/>
      <c r="G17" s="23"/>
      <c r="H17" s="18">
        <v>11</v>
      </c>
    </row>
    <row r="18" spans="2:8" ht="16.5" thickTop="1" thickBot="1" x14ac:dyDescent="0.4">
      <c r="B18" s="28"/>
      <c r="C18" s="28"/>
      <c r="D18" s="28"/>
      <c r="E18" s="28"/>
      <c r="F18" s="28"/>
    </row>
    <row r="19" spans="2:8" ht="20" thickTop="1" x14ac:dyDescent="0.35">
      <c r="B19" s="367" t="s">
        <v>29</v>
      </c>
      <c r="C19" s="368"/>
      <c r="D19" s="368"/>
      <c r="E19" s="368"/>
      <c r="F19" s="369"/>
    </row>
    <row r="20" spans="2:8" ht="19.5" x14ac:dyDescent="0.35">
      <c r="B20" s="365" t="s">
        <v>43</v>
      </c>
      <c r="C20" s="366"/>
      <c r="D20" s="366" t="s">
        <v>42</v>
      </c>
      <c r="E20" s="366"/>
      <c r="F20" s="12" t="s">
        <v>44</v>
      </c>
    </row>
    <row r="21" spans="2:8" x14ac:dyDescent="0.35">
      <c r="B21" s="13" t="s">
        <v>8</v>
      </c>
      <c r="C21" s="19" t="s">
        <v>9</v>
      </c>
      <c r="D21" s="14" t="s">
        <v>8</v>
      </c>
      <c r="E21" s="19" t="s">
        <v>9</v>
      </c>
      <c r="F21" s="12" t="s">
        <v>70</v>
      </c>
    </row>
    <row r="22" spans="2:8" x14ac:dyDescent="0.35">
      <c r="B22" s="13" t="s">
        <v>30</v>
      </c>
      <c r="C22" s="26" t="s">
        <v>34</v>
      </c>
      <c r="D22" s="14" t="s">
        <v>38</v>
      </c>
      <c r="E22" s="26" t="s">
        <v>40</v>
      </c>
      <c r="F22" s="12" t="s">
        <v>71</v>
      </c>
    </row>
    <row r="23" spans="2:8" x14ac:dyDescent="0.35">
      <c r="B23" s="13" t="s">
        <v>31</v>
      </c>
      <c r="C23" s="26" t="s">
        <v>35</v>
      </c>
      <c r="D23" s="14" t="s">
        <v>39</v>
      </c>
      <c r="E23" s="26" t="s">
        <v>41</v>
      </c>
      <c r="F23" s="24"/>
    </row>
    <row r="24" spans="2:8" x14ac:dyDescent="0.35">
      <c r="B24" s="13" t="s">
        <v>32</v>
      </c>
      <c r="C24" s="26" t="s">
        <v>36</v>
      </c>
      <c r="D24" s="21"/>
      <c r="E24" s="21"/>
      <c r="F24" s="24"/>
    </row>
    <row r="25" spans="2:8" ht="16" thickBot="1" x14ac:dyDescent="0.4">
      <c r="B25" s="17" t="s">
        <v>33</v>
      </c>
      <c r="C25" s="27" t="s">
        <v>37</v>
      </c>
      <c r="D25" s="23"/>
      <c r="E25" s="23"/>
      <c r="F25" s="25"/>
    </row>
    <row r="26" spans="2:8" ht="16.5" thickTop="1" thickBot="1" x14ac:dyDescent="0.4">
      <c r="B26" s="28"/>
      <c r="C26" s="28"/>
    </row>
    <row r="27" spans="2:8" ht="16.5" customHeight="1" thickTop="1" thickBot="1" x14ac:dyDescent="0.4">
      <c r="B27" s="170" t="s">
        <v>72</v>
      </c>
      <c r="C27" s="169">
        <v>1.0277777777777778E-2</v>
      </c>
    </row>
    <row r="28" spans="2:8" ht="16" customHeight="1" thickTop="1" thickBot="1" x14ac:dyDescent="0.4"/>
    <row r="29" spans="2:8" ht="20.5" thickTop="1" thickBot="1" x14ac:dyDescent="0.4">
      <c r="B29" s="357" t="s">
        <v>103</v>
      </c>
      <c r="C29" s="358"/>
    </row>
    <row r="30" spans="2:8" ht="16.5" thickTop="1" thickBot="1" x14ac:dyDescent="0.4">
      <c r="B30" s="17" t="s">
        <v>104</v>
      </c>
      <c r="C30" s="18" t="s">
        <v>62</v>
      </c>
    </row>
    <row r="31" spans="2:8" ht="16.5" thickTop="1" thickBot="1" x14ac:dyDescent="0.4"/>
    <row r="32" spans="2:8" ht="20.5" thickTop="1" thickBot="1" x14ac:dyDescent="0.4">
      <c r="B32" s="357" t="s">
        <v>120</v>
      </c>
      <c r="C32" s="358"/>
    </row>
    <row r="33" spans="2:3" ht="16" thickTop="1" x14ac:dyDescent="0.35">
      <c r="B33" s="239" t="s">
        <v>58</v>
      </c>
      <c r="C33" s="240">
        <f>SUM(LEN(Controler!G14))-SUM(LEN(SUBSTITUTE(Controler!G14,"A","")))+SUM(LEN(Controler!C14))-SUM(LEN(SUBSTITUTE(Controler!C14,"A","")))</f>
        <v>4</v>
      </c>
    </row>
    <row r="34" spans="2:3" x14ac:dyDescent="0.35">
      <c r="B34" s="239" t="s">
        <v>63</v>
      </c>
      <c r="C34" s="240">
        <f>SUM(LEN(Controler!G14))-SUM(LEN(SUBSTITUTE(Controler!G14,"C","")))+SUM(LEN(Controler!C14))-SUM(LEN(SUBSTITUTE(Controler!C14,"C","")))</f>
        <v>2</v>
      </c>
    </row>
    <row r="35" spans="2:3" x14ac:dyDescent="0.35">
      <c r="B35" s="239" t="s">
        <v>64</v>
      </c>
      <c r="C35" s="240">
        <f>SUM(LEN(Controler!G14))-SUM(LEN(SUBSTITUTE(Controler!G14,"G","")))+SUM(LEN(Controler!C14))-SUM(LEN(SUBSTITUTE(Controler!C14,"G","")))</f>
        <v>2</v>
      </c>
    </row>
    <row r="36" spans="2:3" x14ac:dyDescent="0.35">
      <c r="B36" s="239" t="s">
        <v>65</v>
      </c>
      <c r="C36" s="240">
        <f>SUM(LEN(Controler!G14))-SUM(LEN(SUBSTITUTE(Controler!G14,"T","")))+SUM(LEN(Controler!C14))-SUM(LEN(SUBSTITUTE(Controler!C14,"T","")))</f>
        <v>2</v>
      </c>
    </row>
    <row r="37" spans="2:3" ht="16" thickBot="1" x14ac:dyDescent="0.4">
      <c r="B37" s="241" t="s">
        <v>86</v>
      </c>
      <c r="C37" s="242">
        <f>SUM(C33:C36)</f>
        <v>10</v>
      </c>
    </row>
    <row r="38" spans="2:3" ht="16" thickTop="1" x14ac:dyDescent="0.35"/>
    <row r="48" spans="2:3" ht="16" customHeight="1" x14ac:dyDescent="0.35"/>
    <row r="49" ht="15.5" customHeight="1" x14ac:dyDescent="0.35"/>
  </sheetData>
  <mergeCells count="10">
    <mergeCell ref="B32:C32"/>
    <mergeCell ref="B29:C29"/>
    <mergeCell ref="B2:H3"/>
    <mergeCell ref="B6:C6"/>
    <mergeCell ref="F6:G6"/>
    <mergeCell ref="D6:E6"/>
    <mergeCell ref="B20:C20"/>
    <mergeCell ref="D20:E20"/>
    <mergeCell ref="B5:H5"/>
    <mergeCell ref="B19:F19"/>
  </mergeCells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FFAAB697489F4C90A3EA5D7218E4FC" ma:contentTypeVersion="10" ma:contentTypeDescription="Crée un document." ma:contentTypeScope="" ma:versionID="eef0215d223a7e327ee7dc32456252c4">
  <xsd:schema xmlns:xsd="http://www.w3.org/2001/XMLSchema" xmlns:xs="http://www.w3.org/2001/XMLSchema" xmlns:p="http://schemas.microsoft.com/office/2006/metadata/properties" xmlns:ns2="793e1eca-689e-4a3a-92e9-75cf482bb9cc" xmlns:ns3="01b09ba2-ec6a-4917-b0d3-203dce3b2b00" targetNamespace="http://schemas.microsoft.com/office/2006/metadata/properties" ma:root="true" ma:fieldsID="ab6f9cbc1e00a149ca19e6e17ee86be8" ns2:_="" ns3:_="">
    <xsd:import namespace="793e1eca-689e-4a3a-92e9-75cf482bb9cc"/>
    <xsd:import namespace="01b09ba2-ec6a-4917-b0d3-203dce3b2b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3e1eca-689e-4a3a-92e9-75cf482bb9c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3c9f4995-6f69-4866-aa32-dadbd14bcf5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b09ba2-ec6a-4917-b0d3-203dce3b2b00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78b8dfaf-ea18-4e44-906d-7a067f693ab0}" ma:internalName="TaxCatchAll" ma:showField="CatchAllData" ma:web="01b09ba2-ec6a-4917-b0d3-203dce3b2b0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93e1eca-689e-4a3a-92e9-75cf482bb9cc">
      <Terms xmlns="http://schemas.microsoft.com/office/infopath/2007/PartnerControls"/>
    </lcf76f155ced4ddcb4097134ff3c332f>
    <TaxCatchAll xmlns="01b09ba2-ec6a-4917-b0d3-203dce3b2b00" xsi:nil="true"/>
  </documentManagement>
</p:properties>
</file>

<file path=customXml/itemProps1.xml><?xml version="1.0" encoding="utf-8"?>
<ds:datastoreItem xmlns:ds="http://schemas.openxmlformats.org/officeDocument/2006/customXml" ds:itemID="{2BE05BA7-0E55-4A24-8773-551719E0B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93e1eca-689e-4a3a-92e9-75cf482bb9cc"/>
    <ds:schemaRef ds:uri="01b09ba2-ec6a-4917-b0d3-203dce3b2b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3C1683D-7EC4-4414-BEDD-7F5E626D1C1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CCB7DE-A7DD-4890-A403-60A6D4D883D0}">
  <ds:schemaRefs>
    <ds:schemaRef ds:uri="http://schemas.microsoft.com/office/2006/metadata/properties"/>
    <ds:schemaRef ds:uri="http://schemas.microsoft.com/office/infopath/2007/PartnerControls"/>
    <ds:schemaRef ds:uri="793e1eca-689e-4a3a-92e9-75cf482bb9cc"/>
    <ds:schemaRef ds:uri="01b09ba2-ec6a-4917-b0d3-203dce3b2b0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Controler</vt:lpstr>
      <vt:lpstr>OT2 Deck</vt:lpstr>
      <vt:lpstr>PSP</vt:lpstr>
      <vt:lpstr>References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Lucie LEFEVRE</dc:creator>
  <cp:lastModifiedBy>Lucie LEFEVRE</cp:lastModifiedBy>
  <cp:lastPrinted>2022-08-17T13:02:16Z</cp:lastPrinted>
  <dcterms:created xsi:type="dcterms:W3CDTF">2022-07-22T12:16:38Z</dcterms:created>
  <dcterms:modified xsi:type="dcterms:W3CDTF">2022-08-19T11:35:34Z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0x01010074FFAAB697489F4C90A3EA5D7218E4FC</vt:lpwstr>
  </property>
  <property fmtid="{D5CDD505-2E9C-101B-9397-08002B2CF9AE}" pid="3" name="MediaServiceImageTags">
    <vt:lpwstr/>
  </property>
</Properties>
</file>